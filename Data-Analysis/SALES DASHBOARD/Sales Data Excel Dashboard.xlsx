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5f52f6b4e98a3dc6/PATRICIA/data analysis/Data sets/"/>
    </mc:Choice>
  </mc:AlternateContent>
  <xr:revisionPtr revIDLastSave="0" documentId="8_{FABE055C-4F97-457F-AE7E-BCC712366DFB}" xr6:coauthVersionLast="47" xr6:coauthVersionMax="47" xr10:uidLastSave="{00000000-0000-0000-0000-000000000000}"/>
  <bookViews>
    <workbookView xWindow="-110" yWindow="-110" windowWidth="19420" windowHeight="10300" xr2:uid="{BC394C29-AC07-41E3-AB75-929EFDDB4E49}"/>
  </bookViews>
  <sheets>
    <sheet name="Dashboard" sheetId="11" r:id="rId1"/>
    <sheet name="sales_data" sheetId="1" r:id="rId2"/>
    <sheet name="% discount on sales" sheetId="10" r:id="rId3"/>
    <sheet name="sales by channel" sheetId="13" r:id="rId4"/>
    <sheet name="avg disount by cat" sheetId="9" r:id="rId5"/>
    <sheet name="Payment method" sheetId="8" r:id="rId6"/>
    <sheet name="product cat by quantity" sheetId="6" r:id="rId7"/>
    <sheet name="customer type by revenue" sheetId="7" r:id="rId8"/>
    <sheet name="sales trend by month" sheetId="5" r:id="rId9"/>
    <sheet name="revenue by sales rep" sheetId="3" r:id="rId10"/>
    <sheet name="revenue by region" sheetId="4" r:id="rId11"/>
  </sheets>
  <definedNames>
    <definedName name="Slicer_Month">#N/A</definedName>
    <definedName name="Slicer_Region">#N/A</definedName>
    <definedName name="Slicer_Region_and_Sales_Rep">#N/A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V6" i="1"/>
  <c r="AE4" i="1"/>
  <c r="AC4" i="1"/>
  <c r="AA4" i="1"/>
  <c r="Y4" i="1"/>
  <c r="W4"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alcChain>
</file>

<file path=xl/sharedStrings.xml><?xml version="1.0" encoding="utf-8"?>
<sst xmlns="http://schemas.openxmlformats.org/spreadsheetml/2006/main" count="7118" uniqueCount="102">
  <si>
    <t>Product_ID</t>
  </si>
  <si>
    <t>Sale_Date</t>
  </si>
  <si>
    <t>Sales_Rep</t>
  </si>
  <si>
    <t>Region</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</si>
  <si>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</si>
  <si>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</si>
  <si>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</si>
  <si>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</si>
  <si>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</si>
  <si>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</si>
  <si>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</si>
  <si>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</si>
  <si>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</si>
  <si>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</si>
  <si>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</si>
  <si>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</si>
  <si>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</si>
  <si>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</si>
  <si>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</si>
  <si>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</si>
  <si>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</si>
  <si>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</si>
  <si>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</si>
  <si>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</si>
  <si>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</si>
  <si>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</si>
  <si>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</si>
  <si>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</si>
  <si>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</si>
  <si>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</si>
  <si>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</si>
  <si>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</si>
  <si>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</si>
  <si>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</si>
  <si>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</si>
  <si>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</si>
  <si>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</si>
  <si>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</si>
  <si>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</si>
  <si>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</si>
  <si>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</si>
  <si>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</si>
  <si>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</si>
  <si>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</si>
  <si>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</si>
  <si>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</si>
  <si>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</si>
  <si>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</si>
  <si>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</si>
  <si>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</si>
  <si>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</si>
  <si>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</si>
  <si>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</si>
  <si>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t>
  </si>
  <si>
    <t>Sales Performance Analysis</t>
  </si>
  <si>
    <t>o</t>
  </si>
  <si>
    <t>Which sales representative generated the highest total sales?</t>
  </si>
  <si>
    <t>What is the total revenue generated per region?</t>
  </si>
  <si>
    <t>What is the trend of sales over different months?</t>
  </si>
  <si>
    <t>Customer &amp; Product Insights</t>
  </si>
  <si>
    <t>What is the most popular product category based on quantity sold?</t>
  </si>
  <si>
    <t>How does the customer type (New vs. Returning) affect sales performance?</t>
  </si>
  <si>
    <t>Which payment method is most commonly used?</t>
  </si>
  <si>
    <t>Discount &amp; Pricing Analysis</t>
  </si>
  <si>
    <t>What is the average discount given per product category?</t>
  </si>
  <si>
    <t>How does the percentage discount impact total sales amount?</t>
  </si>
  <si>
    <t>YEAR</t>
  </si>
  <si>
    <t>Month</t>
  </si>
  <si>
    <t>Day</t>
  </si>
  <si>
    <t>BOB</t>
  </si>
  <si>
    <t>alice</t>
  </si>
  <si>
    <t>charlie</t>
  </si>
  <si>
    <t>eve</t>
  </si>
  <si>
    <t>Grand Total</t>
  </si>
  <si>
    <t>Revenue</t>
  </si>
  <si>
    <t>Sum of Revenue</t>
  </si>
  <si>
    <t>sales rep</t>
  </si>
  <si>
    <t>Total Revenue</t>
  </si>
  <si>
    <t>TOTAL REVENUE</t>
  </si>
  <si>
    <t>January</t>
  </si>
  <si>
    <t>February</t>
  </si>
  <si>
    <t>March</t>
  </si>
  <si>
    <t>April</t>
  </si>
  <si>
    <t>May</t>
  </si>
  <si>
    <t>June</t>
  </si>
  <si>
    <t>July</t>
  </si>
  <si>
    <t>August</t>
  </si>
  <si>
    <t>September</t>
  </si>
  <si>
    <t>October</t>
  </si>
  <si>
    <t>November</t>
  </si>
  <si>
    <t>December</t>
  </si>
  <si>
    <t>Total Quantity_Sold</t>
  </si>
  <si>
    <t>Product category</t>
  </si>
  <si>
    <t>frequency used</t>
  </si>
  <si>
    <t>Payment category</t>
  </si>
  <si>
    <t>Discount Amount</t>
  </si>
  <si>
    <t>Average Discount</t>
  </si>
  <si>
    <t>% Discount</t>
  </si>
  <si>
    <t>Customer type</t>
  </si>
  <si>
    <t>sales by channel</t>
  </si>
  <si>
    <t>sales channel</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</si>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</sst>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quot;$&quot;#,##0"/>
    </dxf>
    <dxf>
      <numFmt numFmtId="164" formatCode="&quot;$&quot;#,##0"/>
    </dxf>
    <dxf>
      <numFmt numFmtId="164" formatCode="&quot;$&quot;#,##0"/>
    </dxf>
    <dxf>
      <numFmt numFmtId="164" formatCode="&quot;$&quot;#,##0"/>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Dashboard.xlsx]revenue by region!PivotTable5</c:name>
    <c:fmtId val="5"/>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Revenue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region'!$B$5</c:f>
              <c:strCache>
                <c:ptCount val="1"/>
                <c:pt idx="0">
                  <c:v>Total</c:v>
                </c:pt>
              </c:strCache>
            </c:strRef>
          </c:tx>
          <c:spPr>
            <a:solidFill>
              <a:schemeClr val="accent1"/>
            </a:solidFill>
            <a:ln>
              <a:noFill/>
            </a:ln>
            <a:effectLst/>
          </c:spPr>
          <c:invertIfNegative val="0"/>
          <c:cat>
            <c:strRef>
              <c:f>'revenue by region'!$A$6:$A$10</c:f>
              <c:strCache>
                <c:ptCount val="4"/>
                <c:pt idx="0">
                  <c:v>East</c:v>
                </c:pt>
                <c:pt idx="1">
                  <c:v>North</c:v>
                </c:pt>
                <c:pt idx="2">
                  <c:v>South</c:v>
                </c:pt>
                <c:pt idx="3">
                  <c:v>West</c:v>
                </c:pt>
              </c:strCache>
            </c:strRef>
          </c:cat>
          <c:val>
            <c:numRef>
              <c:f>'revenue by region'!$B$6:$B$10</c:f>
              <c:numCache>
                <c:formatCode>"$"#,##0</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FD26-4CBC-A6AA-0E4127C21266}"/>
            </c:ext>
          </c:extLst>
        </c:ser>
        <c:dLbls>
          <c:showLegendKey val="0"/>
          <c:showVal val="0"/>
          <c:showCatName val="0"/>
          <c:showSerName val="0"/>
          <c:showPercent val="0"/>
          <c:showBubbleSize val="0"/>
        </c:dLbls>
        <c:gapWidth val="219"/>
        <c:overlap val="-27"/>
        <c:axId val="824786320"/>
        <c:axId val="824800240"/>
      </c:barChart>
      <c:catAx>
        <c:axId val="8247863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4800240"/>
        <c:crosses val="autoZero"/>
        <c:auto val="1"/>
        <c:lblAlgn val="ctr"/>
        <c:lblOffset val="100"/>
        <c:noMultiLvlLbl val="0"/>
      </c:catAx>
      <c:valAx>
        <c:axId val="82480024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4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Dashboard.xlsx]sales trend by month!PivotTable6</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Revenue by Month</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by month'!$B$4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 by 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 by month'!$B$5:$B$17</c:f>
              <c:numCache>
                <c:formatCode>"$"#,##0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AE51-4765-87F4-568834AEE726}"/>
            </c:ext>
          </c:extLst>
        </c:ser>
        <c:dLbls>
          <c:showLegendKey val="0"/>
          <c:showVal val="0"/>
          <c:showCatName val="0"/>
          <c:showSerName val="0"/>
          <c:showPercent val="0"/>
          <c:showBubbleSize val="0"/>
        </c:dLbls>
        <c:marker val="1"/>
        <c:smooth val="0"/>
        <c:axId val="2133061632"/>
        <c:axId val="2133069312"/>
      </c:lineChart>
      <c:catAx>
        <c:axId val="21330616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69312"/>
        <c:crosses val="autoZero"/>
        <c:auto val="1"/>
        <c:lblAlgn val="ctr"/>
        <c:lblOffset val="100"/>
        <c:noMultiLvlLbl val="0"/>
      </c:catAx>
      <c:valAx>
        <c:axId val="21330693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6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Dashboard.xlsx]product cat by quantity!PivotTable7</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 Quantity sold by product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cat by quantity'!$B$4</c:f>
              <c:strCache>
                <c:ptCount val="1"/>
                <c:pt idx="0">
                  <c:v>Total</c:v>
                </c:pt>
              </c:strCache>
            </c:strRef>
          </c:tx>
          <c:spPr>
            <a:solidFill>
              <a:schemeClr val="accent1"/>
            </a:solidFill>
            <a:ln>
              <a:noFill/>
            </a:ln>
            <a:effectLst/>
          </c:spPr>
          <c:invertIfNegative val="0"/>
          <c:cat>
            <c:strRef>
              <c:f>'product cat by quantity'!$A$5:$A$9</c:f>
              <c:strCache>
                <c:ptCount val="4"/>
                <c:pt idx="0">
                  <c:v>Clothing</c:v>
                </c:pt>
                <c:pt idx="1">
                  <c:v>Electronics</c:v>
                </c:pt>
                <c:pt idx="2">
                  <c:v>Food</c:v>
                </c:pt>
                <c:pt idx="3">
                  <c:v>Furniture</c:v>
                </c:pt>
              </c:strCache>
            </c:strRef>
          </c:cat>
          <c:val>
            <c:numRef>
              <c:f>'product cat by quantity'!$B$5:$B$9</c:f>
              <c:numCache>
                <c:formatCode>General</c:formatCode>
                <c:ptCount val="4"/>
                <c:pt idx="0">
                  <c:v>6922</c:v>
                </c:pt>
                <c:pt idx="1">
                  <c:v>6096</c:v>
                </c:pt>
                <c:pt idx="2">
                  <c:v>5608</c:v>
                </c:pt>
                <c:pt idx="3">
                  <c:v>6729</c:v>
                </c:pt>
              </c:numCache>
            </c:numRef>
          </c:val>
          <c:extLst>
            <c:ext xmlns:c16="http://schemas.microsoft.com/office/drawing/2014/chart" uri="{C3380CC4-5D6E-409C-BE32-E72D297353CC}">
              <c16:uniqueId val="{00000000-B82C-4BF4-A91F-85C4791792A4}"/>
            </c:ext>
          </c:extLst>
        </c:ser>
        <c:dLbls>
          <c:showLegendKey val="0"/>
          <c:showVal val="0"/>
          <c:showCatName val="0"/>
          <c:showSerName val="0"/>
          <c:showPercent val="0"/>
          <c:showBubbleSize val="0"/>
        </c:dLbls>
        <c:gapWidth val="182"/>
        <c:axId val="2133071232"/>
        <c:axId val="2133053472"/>
      </c:barChart>
      <c:catAx>
        <c:axId val="213307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53472"/>
        <c:crosses val="autoZero"/>
        <c:auto val="1"/>
        <c:lblAlgn val="ctr"/>
        <c:lblOffset val="100"/>
        <c:noMultiLvlLbl val="0"/>
      </c:catAx>
      <c:valAx>
        <c:axId val="2133053472"/>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7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Dashboard.xlsx]customer type by revenue!PivotTable8</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 Revenue by</a:t>
            </a:r>
            <a:r>
              <a:rPr lang="en-US" sz="1200" b="1" baseline="0">
                <a:solidFill>
                  <a:schemeClr val="tx1"/>
                </a:solidFill>
              </a:rPr>
              <a:t> customer type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solidFill>
              <a:schemeClr val="bg1">
                <a:alpha val="9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marker>
          <c:symbol val="none"/>
        </c:marker>
        <c:dLbl>
          <c:idx val="0"/>
          <c:spPr>
            <a:solidFill>
              <a:schemeClr val="bg1">
                <a:alpha val="9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bg1"/>
            </a:solidFill>
          </a:ln>
          <a:effectLst/>
        </c:spPr>
      </c:pivotFmt>
      <c:pivotFmt>
        <c:idx val="3"/>
        <c:spPr>
          <a:solidFill>
            <a:schemeClr val="accent1"/>
          </a:solidFill>
          <a:ln w="19050">
            <a:solidFill>
              <a:schemeClr val="bg1"/>
            </a:solidFill>
          </a:ln>
          <a:effectLst/>
        </c:spPr>
      </c:pivotFmt>
      <c:pivotFmt>
        <c:idx val="4"/>
        <c:spPr>
          <a:solidFill>
            <a:schemeClr val="accent1"/>
          </a:solidFill>
          <a:ln w="19050">
            <a:noFill/>
          </a:ln>
          <a:effectLst/>
        </c:spPr>
        <c:marker>
          <c:symbol val="none"/>
        </c:marker>
        <c:dLbl>
          <c:idx val="0"/>
          <c:spPr>
            <a:solidFill>
              <a:schemeClr val="bg1">
                <a:alpha val="94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21888881346728212"/>
          <c:y val="0.31475704320229936"/>
          <c:w val="0.31193490361118653"/>
          <c:h val="0.55033382234064854"/>
        </c:manualLayout>
      </c:layout>
      <c:pieChart>
        <c:varyColors val="1"/>
        <c:ser>
          <c:idx val="0"/>
          <c:order val="0"/>
          <c:tx>
            <c:strRef>
              <c:f>'customer type by revenue'!$B$6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8699-49C7-AFE8-6E2DD163333A}"/>
              </c:ext>
            </c:extLst>
          </c:dPt>
          <c:dPt>
            <c:idx val="1"/>
            <c:bubble3D val="0"/>
            <c:spPr>
              <a:solidFill>
                <a:schemeClr val="accent2"/>
              </a:solidFill>
              <a:ln w="19050">
                <a:noFill/>
              </a:ln>
              <a:effectLst/>
            </c:spPr>
            <c:extLst>
              <c:ext xmlns:c16="http://schemas.microsoft.com/office/drawing/2014/chart" uri="{C3380CC4-5D6E-409C-BE32-E72D297353CC}">
                <c16:uniqueId val="{00000003-8699-49C7-AFE8-6E2DD163333A}"/>
              </c:ext>
            </c:extLst>
          </c:dPt>
          <c:dLbls>
            <c:spPr>
              <a:solidFill>
                <a:schemeClr val="bg1">
                  <a:alpha val="94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 by revenue'!$A$7:$A$9</c:f>
              <c:strCache>
                <c:ptCount val="2"/>
                <c:pt idx="0">
                  <c:v>New</c:v>
                </c:pt>
                <c:pt idx="1">
                  <c:v>Returning</c:v>
                </c:pt>
              </c:strCache>
            </c:strRef>
          </c:cat>
          <c:val>
            <c:numRef>
              <c:f>'customer type by revenue'!$B$7:$B$9</c:f>
              <c:numCache>
                <c:formatCode>"$"#,##0</c:formatCode>
                <c:ptCount val="2"/>
                <c:pt idx="0">
                  <c:v>2506258.299999998</c:v>
                </c:pt>
                <c:pt idx="1">
                  <c:v>2513006.930000002</c:v>
                </c:pt>
              </c:numCache>
            </c:numRef>
          </c:val>
          <c:extLst>
            <c:ext xmlns:c16="http://schemas.microsoft.com/office/drawing/2014/chart" uri="{C3380CC4-5D6E-409C-BE32-E72D297353CC}">
              <c16:uniqueId val="{00000004-8699-49C7-AFE8-6E2DD16333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Dashboard.xlsx]Payment method!PivotTable9</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GB" sz="1200" b="1">
                <a:solidFill>
                  <a:schemeClr val="tx1"/>
                </a:solidFill>
              </a:rPr>
              <a:t>Payment Category </a:t>
            </a:r>
            <a:r>
              <a:rPr lang="en-US" sz="1200" b="1">
                <a:solidFill>
                  <a:schemeClr val="tx1"/>
                </a:solidFill>
              </a:rPr>
              <a:t>usage </a:t>
            </a:r>
            <a:endParaRPr lang="en-GB" sz="1200" b="1">
              <a:solidFill>
                <a:schemeClr val="tx1"/>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pieChart>
        <c:varyColors val="1"/>
        <c:ser>
          <c:idx val="0"/>
          <c:order val="0"/>
          <c:tx>
            <c:strRef>
              <c:f>'Payment method'!$B$3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AB6-4D8B-9E29-4132D568F633}"/>
              </c:ext>
            </c:extLst>
          </c:dPt>
          <c:dPt>
            <c:idx val="1"/>
            <c:bubble3D val="0"/>
            <c:spPr>
              <a:solidFill>
                <a:schemeClr val="accent2"/>
              </a:solidFill>
              <a:ln w="19050">
                <a:noFill/>
              </a:ln>
              <a:effectLst/>
            </c:spPr>
            <c:extLst>
              <c:ext xmlns:c16="http://schemas.microsoft.com/office/drawing/2014/chart" uri="{C3380CC4-5D6E-409C-BE32-E72D297353CC}">
                <c16:uniqueId val="{00000003-AAB6-4D8B-9E29-4132D568F633}"/>
              </c:ext>
            </c:extLst>
          </c:dPt>
          <c:dPt>
            <c:idx val="2"/>
            <c:bubble3D val="0"/>
            <c:spPr>
              <a:solidFill>
                <a:schemeClr val="accent3"/>
              </a:solidFill>
              <a:ln w="19050">
                <a:noFill/>
              </a:ln>
              <a:effectLst/>
            </c:spPr>
            <c:extLst>
              <c:ext xmlns:c16="http://schemas.microsoft.com/office/drawing/2014/chart" uri="{C3380CC4-5D6E-409C-BE32-E72D297353CC}">
                <c16:uniqueId val="{00000005-AAB6-4D8B-9E29-4132D568F6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method'!$A$4:$A$7</c:f>
              <c:strCache>
                <c:ptCount val="3"/>
                <c:pt idx="0">
                  <c:v>Bank Transfer</c:v>
                </c:pt>
                <c:pt idx="1">
                  <c:v>Cash</c:v>
                </c:pt>
                <c:pt idx="2">
                  <c:v>Credit Card</c:v>
                </c:pt>
              </c:strCache>
            </c:strRef>
          </c:cat>
          <c:val>
            <c:numRef>
              <c:f>'Payment method'!$B$4:$B$7</c:f>
              <c:numCache>
                <c:formatCode>General</c:formatCode>
                <c:ptCount val="3"/>
                <c:pt idx="0">
                  <c:v>342</c:v>
                </c:pt>
                <c:pt idx="1">
                  <c:v>313</c:v>
                </c:pt>
                <c:pt idx="2">
                  <c:v>345</c:v>
                </c:pt>
              </c:numCache>
            </c:numRef>
          </c:val>
          <c:extLst>
            <c:ext xmlns:c16="http://schemas.microsoft.com/office/drawing/2014/chart" uri="{C3380CC4-5D6E-409C-BE32-E72D297353CC}">
              <c16:uniqueId val="{00000006-AAB6-4D8B-9E29-4132D568F6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Dashboard.xlsx]revenue by sales rep!PivotTable4</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a:t>
            </a:r>
            <a:r>
              <a:rPr lang="en-US" sz="1200" b="1" baseline="0">
                <a:solidFill>
                  <a:schemeClr val="tx1"/>
                </a:solidFill>
              </a:rPr>
              <a:t> sales by sales reps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 rep'!$B$3</c:f>
              <c:strCache>
                <c:ptCount val="1"/>
                <c:pt idx="0">
                  <c:v>Total</c:v>
                </c:pt>
              </c:strCache>
            </c:strRef>
          </c:tx>
          <c:spPr>
            <a:solidFill>
              <a:schemeClr val="accent1"/>
            </a:solidFill>
            <a:ln>
              <a:noFill/>
            </a:ln>
            <a:effectLst/>
          </c:spPr>
          <c:invertIfNegative val="0"/>
          <c:cat>
            <c:strRef>
              <c:f>'revenue by sales rep'!$A$4:$A$9</c:f>
              <c:strCache>
                <c:ptCount val="5"/>
                <c:pt idx="0">
                  <c:v>Alice</c:v>
                </c:pt>
                <c:pt idx="1">
                  <c:v>Bob</c:v>
                </c:pt>
                <c:pt idx="2">
                  <c:v>Charlie</c:v>
                </c:pt>
                <c:pt idx="3">
                  <c:v>David</c:v>
                </c:pt>
                <c:pt idx="4">
                  <c:v>Eve</c:v>
                </c:pt>
              </c:strCache>
            </c:strRef>
          </c:cat>
          <c:val>
            <c:numRef>
              <c:f>'revenue by sales rep'!$B$4:$B$9</c:f>
              <c:numCache>
                <c:formatCode>"$"#,##0</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8367-4AC3-81B1-1A7321F7F54E}"/>
            </c:ext>
          </c:extLst>
        </c:ser>
        <c:dLbls>
          <c:showLegendKey val="0"/>
          <c:showVal val="0"/>
          <c:showCatName val="0"/>
          <c:showSerName val="0"/>
          <c:showPercent val="0"/>
          <c:showBubbleSize val="0"/>
        </c:dLbls>
        <c:gapWidth val="182"/>
        <c:axId val="2133078432"/>
        <c:axId val="2133079392"/>
      </c:barChart>
      <c:catAx>
        <c:axId val="21330784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79392"/>
        <c:crosses val="autoZero"/>
        <c:auto val="1"/>
        <c:lblAlgn val="ctr"/>
        <c:lblOffset val="100"/>
        <c:noMultiLvlLbl val="0"/>
      </c:catAx>
      <c:valAx>
        <c:axId val="21330793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7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Dashboard.xlsx]sales by channel!PivotTable15</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Revenue by Sales channel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doughnutChart>
        <c:varyColors val="1"/>
        <c:ser>
          <c:idx val="0"/>
          <c:order val="0"/>
          <c:tx>
            <c:strRef>
              <c:f>'sales by channel'!$B$3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627-4C3F-8333-7D09B5A7574A}"/>
              </c:ext>
            </c:extLst>
          </c:dPt>
          <c:dPt>
            <c:idx val="1"/>
            <c:bubble3D val="0"/>
            <c:spPr>
              <a:solidFill>
                <a:schemeClr val="accent2"/>
              </a:solidFill>
              <a:ln w="19050">
                <a:noFill/>
              </a:ln>
              <a:effectLst/>
            </c:spPr>
            <c:extLst>
              <c:ext xmlns:c16="http://schemas.microsoft.com/office/drawing/2014/chart" uri="{C3380CC4-5D6E-409C-BE32-E72D297353CC}">
                <c16:uniqueId val="{00000003-4627-4C3F-8333-7D09B5A757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channel'!$A$4:$A$6</c:f>
              <c:strCache>
                <c:ptCount val="2"/>
                <c:pt idx="0">
                  <c:v>Online</c:v>
                </c:pt>
                <c:pt idx="1">
                  <c:v>Retail</c:v>
                </c:pt>
              </c:strCache>
            </c:strRef>
          </c:cat>
          <c:val>
            <c:numRef>
              <c:f>'sales by channel'!$B$4:$B$6</c:f>
              <c:numCache>
                <c:formatCode>"$"#,##0</c:formatCode>
                <c:ptCount val="2"/>
                <c:pt idx="0">
                  <c:v>2458833.9300000034</c:v>
                </c:pt>
                <c:pt idx="1">
                  <c:v>2560431.2999999984</c:v>
                </c:pt>
              </c:numCache>
            </c:numRef>
          </c:val>
          <c:extLst>
            <c:ext xmlns:c16="http://schemas.microsoft.com/office/drawing/2014/chart" uri="{C3380CC4-5D6E-409C-BE32-E72D297353CC}">
              <c16:uniqueId val="{00000004-4627-4C3F-8333-7D09B5A7574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Dashboard.xlsx]sales by channel!PivotTable15</c:name>
    <c:fmtId val="1"/>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Revenue by Sales channel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'sales by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1D-4DEB-9BA7-3EB9715A52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1D-4DEB-9BA7-3EB9715A523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channel'!$A$4:$A$6</c:f>
              <c:strCache>
                <c:ptCount val="2"/>
                <c:pt idx="0">
                  <c:v>Online</c:v>
                </c:pt>
                <c:pt idx="1">
                  <c:v>Retail</c:v>
                </c:pt>
              </c:strCache>
            </c:strRef>
          </c:cat>
          <c:val>
            <c:numRef>
              <c:f>'sales by channel'!$B$4:$B$6</c:f>
              <c:numCache>
                <c:formatCode>"$"#,##0</c:formatCode>
                <c:ptCount val="2"/>
                <c:pt idx="0">
                  <c:v>2458833.9300000034</c:v>
                </c:pt>
                <c:pt idx="1">
                  <c:v>2560431.2999999984</c:v>
                </c:pt>
              </c:numCache>
            </c:numRef>
          </c:val>
          <c:extLst>
            <c:ext xmlns:c16="http://schemas.microsoft.com/office/drawing/2014/chart" uri="{C3380CC4-5D6E-409C-BE32-E72D297353CC}">
              <c16:uniqueId val="{00000000-C984-41E5-945A-2675BDEDA06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Dashboard.xlsx]avg disount by cat!PivotTable14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Discount</a:t>
            </a:r>
            <a:r>
              <a:rPr lang="en-US" b="1" baseline="0">
                <a:solidFill>
                  <a:schemeClr val="tx1"/>
                </a:solidFill>
              </a:rPr>
              <a: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disount by cat'!$B$4</c:f>
              <c:strCache>
                <c:ptCount val="1"/>
                <c:pt idx="0">
                  <c:v>Total</c:v>
                </c:pt>
              </c:strCache>
            </c:strRef>
          </c:tx>
          <c:spPr>
            <a:solidFill>
              <a:schemeClr val="accent1"/>
            </a:solidFill>
            <a:ln>
              <a:noFill/>
            </a:ln>
            <a:effectLst/>
          </c:spPr>
          <c:invertIfNegative val="0"/>
          <c:cat>
            <c:strRef>
              <c:f>'avg disount by cat'!$A$5:$A$9</c:f>
              <c:strCache>
                <c:ptCount val="4"/>
                <c:pt idx="0">
                  <c:v>Clothing</c:v>
                </c:pt>
                <c:pt idx="1">
                  <c:v>Electronics</c:v>
                </c:pt>
                <c:pt idx="2">
                  <c:v>Food</c:v>
                </c:pt>
                <c:pt idx="3">
                  <c:v>Furniture</c:v>
                </c:pt>
              </c:strCache>
            </c:strRef>
          </c:cat>
          <c:val>
            <c:numRef>
              <c:f>'avg disount by cat'!$B$5:$B$9</c:f>
              <c:numCache>
                <c:formatCode>General</c:formatCode>
                <c:ptCount val="4"/>
                <c:pt idx="0">
                  <c:v>0.16022388059701501</c:v>
                </c:pt>
                <c:pt idx="1">
                  <c:v>0.13650406504065041</c:v>
                </c:pt>
                <c:pt idx="2">
                  <c:v>0.15380530973451326</c:v>
                </c:pt>
                <c:pt idx="3">
                  <c:v>0.15811538461538469</c:v>
                </c:pt>
              </c:numCache>
            </c:numRef>
          </c:val>
          <c:extLst>
            <c:ext xmlns:c16="http://schemas.microsoft.com/office/drawing/2014/chart" uri="{C3380CC4-5D6E-409C-BE32-E72D297353CC}">
              <c16:uniqueId val="{00000000-1582-472F-9368-F8054D227EAE}"/>
            </c:ext>
          </c:extLst>
        </c:ser>
        <c:dLbls>
          <c:showLegendKey val="0"/>
          <c:showVal val="0"/>
          <c:showCatName val="0"/>
          <c:showSerName val="0"/>
          <c:showPercent val="0"/>
          <c:showBubbleSize val="0"/>
        </c:dLbls>
        <c:gapWidth val="219"/>
        <c:overlap val="-27"/>
        <c:axId val="988121536"/>
        <c:axId val="988128256"/>
      </c:barChart>
      <c:catAx>
        <c:axId val="98812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8128256"/>
        <c:crosses val="autoZero"/>
        <c:auto val="1"/>
        <c:lblAlgn val="ctr"/>
        <c:lblOffset val="100"/>
        <c:noMultiLvlLbl val="0"/>
      </c:catAx>
      <c:valAx>
        <c:axId val="98812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812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Dashboard.xlsx]Payment method!PivotTable9</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Payment Category </a:t>
            </a:r>
            <a:r>
              <a:rPr lang="en-US" b="1">
                <a:solidFill>
                  <a:schemeClr val="tx1"/>
                </a:solidFill>
              </a:rPr>
              <a:t>usage </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'Payment method'!$B$3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E6-49AB-95C5-0156E5076E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E6-49AB-95C5-0156E5076E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E6-49AB-95C5-0156E5076E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method'!$A$4:$A$7</c:f>
              <c:strCache>
                <c:ptCount val="3"/>
                <c:pt idx="0">
                  <c:v>Bank Transfer</c:v>
                </c:pt>
                <c:pt idx="1">
                  <c:v>Cash</c:v>
                </c:pt>
                <c:pt idx="2">
                  <c:v>Credit Card</c:v>
                </c:pt>
              </c:strCache>
            </c:strRef>
          </c:cat>
          <c:val>
            <c:numRef>
              <c:f>'Payment method'!$B$4:$B$7</c:f>
              <c:numCache>
                <c:formatCode>General</c:formatCode>
                <c:ptCount val="3"/>
                <c:pt idx="0">
                  <c:v>342</c:v>
                </c:pt>
                <c:pt idx="1">
                  <c:v>313</c:v>
                </c:pt>
                <c:pt idx="2">
                  <c:v>345</c:v>
                </c:pt>
              </c:numCache>
            </c:numRef>
          </c:val>
          <c:extLst>
            <c:ext xmlns:c16="http://schemas.microsoft.com/office/drawing/2014/chart" uri="{C3380CC4-5D6E-409C-BE32-E72D297353CC}">
              <c16:uniqueId val="{00000000-BD85-4F28-91B8-A1CDA72E8C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Dashboard.xlsx]product cat by quantity!PivotTable7</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 Quantity sold by product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cat by quantity'!$B$4</c:f>
              <c:strCache>
                <c:ptCount val="1"/>
                <c:pt idx="0">
                  <c:v>Total</c:v>
                </c:pt>
              </c:strCache>
            </c:strRef>
          </c:tx>
          <c:spPr>
            <a:solidFill>
              <a:schemeClr val="accent1"/>
            </a:solidFill>
            <a:ln>
              <a:noFill/>
            </a:ln>
            <a:effectLst/>
          </c:spPr>
          <c:invertIfNegative val="0"/>
          <c:cat>
            <c:strRef>
              <c:f>'product cat by quantity'!$A$5:$A$9</c:f>
              <c:strCache>
                <c:ptCount val="4"/>
                <c:pt idx="0">
                  <c:v>Clothing</c:v>
                </c:pt>
                <c:pt idx="1">
                  <c:v>Electronics</c:v>
                </c:pt>
                <c:pt idx="2">
                  <c:v>Food</c:v>
                </c:pt>
                <c:pt idx="3">
                  <c:v>Furniture</c:v>
                </c:pt>
              </c:strCache>
            </c:strRef>
          </c:cat>
          <c:val>
            <c:numRef>
              <c:f>'product cat by quantity'!$B$5:$B$9</c:f>
              <c:numCache>
                <c:formatCode>General</c:formatCode>
                <c:ptCount val="4"/>
                <c:pt idx="0">
                  <c:v>6922</c:v>
                </c:pt>
                <c:pt idx="1">
                  <c:v>6096</c:v>
                </c:pt>
                <c:pt idx="2">
                  <c:v>5608</c:v>
                </c:pt>
                <c:pt idx="3">
                  <c:v>6729</c:v>
                </c:pt>
              </c:numCache>
            </c:numRef>
          </c:val>
          <c:extLst>
            <c:ext xmlns:c16="http://schemas.microsoft.com/office/drawing/2014/chart" uri="{C3380CC4-5D6E-409C-BE32-E72D297353CC}">
              <c16:uniqueId val="{00000000-05A5-4FF6-8AB8-1985F718D870}"/>
            </c:ext>
          </c:extLst>
        </c:ser>
        <c:dLbls>
          <c:showLegendKey val="0"/>
          <c:showVal val="0"/>
          <c:showCatName val="0"/>
          <c:showSerName val="0"/>
          <c:showPercent val="0"/>
          <c:showBubbleSize val="0"/>
        </c:dLbls>
        <c:gapWidth val="182"/>
        <c:axId val="2133071232"/>
        <c:axId val="2133053472"/>
      </c:barChart>
      <c:catAx>
        <c:axId val="213307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53472"/>
        <c:crosses val="autoZero"/>
        <c:auto val="1"/>
        <c:lblAlgn val="ctr"/>
        <c:lblOffset val="100"/>
        <c:noMultiLvlLbl val="0"/>
      </c:catAx>
      <c:valAx>
        <c:axId val="213305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7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Dashboard.xlsx]customer type by revenue!PivotTable8</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 Revenue by</a:t>
            </a:r>
            <a:r>
              <a:rPr lang="en-US" sz="1200" b="1" baseline="0">
                <a:solidFill>
                  <a:schemeClr val="tx1"/>
                </a:solidFill>
              </a:rPr>
              <a:t> customer type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spPr>
            <a:solidFill>
              <a:schemeClr val="bg1">
                <a:alpha val="9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bg1"/>
            </a:solidFill>
          </a:ln>
          <a:effectLst/>
        </c:spPr>
      </c:pivotFmt>
      <c:pivotFmt>
        <c:idx val="2"/>
        <c:spPr>
          <a:solidFill>
            <a:schemeClr val="accent1"/>
          </a:solidFill>
          <a:ln w="19050">
            <a:solidFill>
              <a:schemeClr val="bg1"/>
            </a:solidFill>
          </a:ln>
          <a:effectLst/>
        </c:spPr>
      </c:pivotFmt>
    </c:pivotFmts>
    <c:plotArea>
      <c:layout/>
      <c:pieChart>
        <c:varyColors val="1"/>
        <c:ser>
          <c:idx val="0"/>
          <c:order val="0"/>
          <c:tx>
            <c:strRef>
              <c:f>'customer type by revenue'!$B$6</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2-CEF2-4964-B8A6-6D7A22EFFB82}"/>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7939-4E2D-8864-CC3051ADCC8F}"/>
              </c:ext>
            </c:extLst>
          </c:dPt>
          <c:dLbls>
            <c:spPr>
              <a:solidFill>
                <a:schemeClr val="bg1">
                  <a:alpha val="9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type by revenue'!$A$7:$A$9</c:f>
              <c:strCache>
                <c:ptCount val="2"/>
                <c:pt idx="0">
                  <c:v>New</c:v>
                </c:pt>
                <c:pt idx="1">
                  <c:v>Returning</c:v>
                </c:pt>
              </c:strCache>
            </c:strRef>
          </c:cat>
          <c:val>
            <c:numRef>
              <c:f>'customer type by revenue'!$B$7:$B$9</c:f>
              <c:numCache>
                <c:formatCode>"$"#,##0</c:formatCode>
                <c:ptCount val="2"/>
                <c:pt idx="0">
                  <c:v>2506258.299999998</c:v>
                </c:pt>
                <c:pt idx="1">
                  <c:v>2513006.930000002</c:v>
                </c:pt>
              </c:numCache>
            </c:numRef>
          </c:val>
          <c:extLst>
            <c:ext xmlns:c16="http://schemas.microsoft.com/office/drawing/2014/chart" uri="{C3380CC4-5D6E-409C-BE32-E72D297353CC}">
              <c16:uniqueId val="{00000000-CEF2-4964-B8A6-6D7A22EFFB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Dashboard.xlsx]sales trend by month!PivotTable6</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Revenue by Month</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by month'!$B$4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 by month'!$A$5:$A$17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trend by month'!$B$5:$B$17</c:f>
              <c:numCache>
                <c:formatCode>"$"#,##0</c:formatCode>
                <c:ptCount val="12"/>
                <c:pt idx="0">
                  <c:v>495420.37000000011</c:v>
                </c:pt>
                <c:pt idx="1">
                  <c:v>368919.35999999993</c:v>
                </c:pt>
                <c:pt idx="2">
                  <c:v>402638.77000000008</c:v>
                </c:pt>
                <c:pt idx="3">
                  <c:v>438992.61000000004</c:v>
                </c:pt>
                <c:pt idx="4">
                  <c:v>389078.75999999989</c:v>
                </c:pt>
                <c:pt idx="5">
                  <c:v>418458.34000000008</c:v>
                </c:pt>
                <c:pt idx="6">
                  <c:v>374242.88</c:v>
                </c:pt>
                <c:pt idx="7">
                  <c:v>443171.28</c:v>
                </c:pt>
                <c:pt idx="8">
                  <c:v>367837.60000000003</c:v>
                </c:pt>
                <c:pt idx="9">
                  <c:v>460378.78000000014</c:v>
                </c:pt>
                <c:pt idx="10">
                  <c:v>467482.89999999985</c:v>
                </c:pt>
                <c:pt idx="11">
                  <c:v>392643.57999999984</c:v>
                </c:pt>
              </c:numCache>
            </c:numRef>
          </c:val>
          <c:smooth val="0"/>
          <c:extLst>
            <c:ext xmlns:c16="http://schemas.microsoft.com/office/drawing/2014/chart" uri="{C3380CC4-5D6E-409C-BE32-E72D297353CC}">
              <c16:uniqueId val="{00000000-8A65-4D79-9056-85631D4EA1E7}"/>
            </c:ext>
          </c:extLst>
        </c:ser>
        <c:dLbls>
          <c:showLegendKey val="0"/>
          <c:showVal val="0"/>
          <c:showCatName val="0"/>
          <c:showSerName val="0"/>
          <c:showPercent val="0"/>
          <c:showBubbleSize val="0"/>
        </c:dLbls>
        <c:marker val="1"/>
        <c:smooth val="0"/>
        <c:axId val="2133061632"/>
        <c:axId val="2133069312"/>
      </c:lineChart>
      <c:catAx>
        <c:axId val="2133061632"/>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69312"/>
        <c:crosses val="autoZero"/>
        <c:auto val="1"/>
        <c:lblAlgn val="ctr"/>
        <c:lblOffset val="100"/>
        <c:noMultiLvlLbl val="0"/>
      </c:catAx>
      <c:valAx>
        <c:axId val="213306931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6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Dashboard.xlsx]revenue by sales rep!PivotTable4</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Total</a:t>
            </a:r>
            <a:r>
              <a:rPr lang="en-US" sz="1200" b="1" baseline="0">
                <a:solidFill>
                  <a:schemeClr val="tx1"/>
                </a:solidFill>
              </a:rPr>
              <a:t> sales by sales reps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sales rep'!$B$3</c:f>
              <c:strCache>
                <c:ptCount val="1"/>
                <c:pt idx="0">
                  <c:v>Total</c:v>
                </c:pt>
              </c:strCache>
            </c:strRef>
          </c:tx>
          <c:spPr>
            <a:solidFill>
              <a:schemeClr val="accent1"/>
            </a:solidFill>
            <a:ln>
              <a:noFill/>
            </a:ln>
            <a:effectLst/>
          </c:spPr>
          <c:invertIfNegative val="0"/>
          <c:cat>
            <c:strRef>
              <c:f>'revenue by sales rep'!$A$4:$A$9</c:f>
              <c:strCache>
                <c:ptCount val="5"/>
                <c:pt idx="0">
                  <c:v>Alice</c:v>
                </c:pt>
                <c:pt idx="1">
                  <c:v>Bob</c:v>
                </c:pt>
                <c:pt idx="2">
                  <c:v>Charlie</c:v>
                </c:pt>
                <c:pt idx="3">
                  <c:v>David</c:v>
                </c:pt>
                <c:pt idx="4">
                  <c:v>Eve</c:v>
                </c:pt>
              </c:strCache>
            </c:strRef>
          </c:cat>
          <c:val>
            <c:numRef>
              <c:f>'revenue by sales rep'!$B$4:$B$9</c:f>
              <c:numCache>
                <c:formatCode>"$"#,##0</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4C5E-48A0-A9A6-8D2B0B9AEC56}"/>
            </c:ext>
          </c:extLst>
        </c:ser>
        <c:dLbls>
          <c:showLegendKey val="0"/>
          <c:showVal val="0"/>
          <c:showCatName val="0"/>
          <c:showSerName val="0"/>
          <c:showPercent val="0"/>
          <c:showBubbleSize val="0"/>
        </c:dLbls>
        <c:gapWidth val="182"/>
        <c:axId val="2133078432"/>
        <c:axId val="2133079392"/>
      </c:barChart>
      <c:catAx>
        <c:axId val="213307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79392"/>
        <c:crosses val="autoZero"/>
        <c:auto val="1"/>
        <c:lblAlgn val="ctr"/>
        <c:lblOffset val="100"/>
        <c:noMultiLvlLbl val="0"/>
      </c:catAx>
      <c:valAx>
        <c:axId val="2133079392"/>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307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Dashboard.xlsx]revenue by region!PivotTable5</c:name>
    <c:fmtId val="0"/>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Revenue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region'!$B$5</c:f>
              <c:strCache>
                <c:ptCount val="1"/>
                <c:pt idx="0">
                  <c:v>Total</c:v>
                </c:pt>
              </c:strCache>
            </c:strRef>
          </c:tx>
          <c:spPr>
            <a:solidFill>
              <a:schemeClr val="accent1"/>
            </a:solidFill>
            <a:ln>
              <a:noFill/>
            </a:ln>
            <a:effectLst/>
          </c:spPr>
          <c:invertIfNegative val="0"/>
          <c:cat>
            <c:strRef>
              <c:f>'revenue by region'!$A$6:$A$10</c:f>
              <c:strCache>
                <c:ptCount val="4"/>
                <c:pt idx="0">
                  <c:v>East</c:v>
                </c:pt>
                <c:pt idx="1">
                  <c:v>North</c:v>
                </c:pt>
                <c:pt idx="2">
                  <c:v>South</c:v>
                </c:pt>
                <c:pt idx="3">
                  <c:v>West</c:v>
                </c:pt>
              </c:strCache>
            </c:strRef>
          </c:cat>
          <c:val>
            <c:numRef>
              <c:f>'revenue by region'!$B$6:$B$10</c:f>
              <c:numCache>
                <c:formatCode>"$"#,##0</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3BCE-4E0D-8FDB-068DEC2AA7DE}"/>
            </c:ext>
          </c:extLst>
        </c:ser>
        <c:dLbls>
          <c:showLegendKey val="0"/>
          <c:showVal val="0"/>
          <c:showCatName val="0"/>
          <c:showSerName val="0"/>
          <c:showPercent val="0"/>
          <c:showBubbleSize val="0"/>
        </c:dLbls>
        <c:gapWidth val="219"/>
        <c:overlap val="-27"/>
        <c:axId val="824786320"/>
        <c:axId val="824800240"/>
      </c:barChart>
      <c:catAx>
        <c:axId val="8247863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4800240"/>
        <c:crosses val="autoZero"/>
        <c:auto val="1"/>
        <c:lblAlgn val="ctr"/>
        <c:lblOffset val="100"/>
        <c:noMultiLvlLbl val="0"/>
      </c:catAx>
      <c:valAx>
        <c:axId val="82480024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4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50801</xdr:colOff>
      <xdr:row>2</xdr:row>
      <xdr:rowOff>159699</xdr:rowOff>
    </xdr:from>
    <xdr:to>
      <xdr:col>4</xdr:col>
      <xdr:colOff>419101</xdr:colOff>
      <xdr:row>12</xdr:row>
      <xdr:rowOff>46495</xdr:rowOff>
    </xdr:to>
    <xdr:graphicFrame macro="">
      <xdr:nvGraphicFramePr>
        <xdr:cNvPr id="2" name="Chart 1">
          <a:extLst>
            <a:ext uri="{FF2B5EF4-FFF2-40B4-BE49-F238E27FC236}">
              <a16:creationId xmlns:a16="http://schemas.microsoft.com/office/drawing/2014/main" id="{32184303-BCBC-4E09-8109-B0B060DC6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51584</xdr:colOff>
      <xdr:row>12</xdr:row>
      <xdr:rowOff>125903</xdr:rowOff>
    </xdr:from>
    <xdr:to>
      <xdr:col>5</xdr:col>
      <xdr:colOff>52290</xdr:colOff>
      <xdr:row>24</xdr:row>
      <xdr:rowOff>48605</xdr:rowOff>
    </xdr:to>
    <xdr:graphicFrame macro="">
      <xdr:nvGraphicFramePr>
        <xdr:cNvPr id="3" name="Chart 2">
          <a:extLst>
            <a:ext uri="{FF2B5EF4-FFF2-40B4-BE49-F238E27FC236}">
              <a16:creationId xmlns:a16="http://schemas.microsoft.com/office/drawing/2014/main" id="{2FB69461-432B-42B4-B7F1-8E2465257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202495</xdr:colOff>
      <xdr:row>2</xdr:row>
      <xdr:rowOff>157826</xdr:rowOff>
    </xdr:from>
    <xdr:to>
      <xdr:col>13</xdr:col>
      <xdr:colOff>577850</xdr:colOff>
      <xdr:row>12</xdr:row>
      <xdr:rowOff>14598</xdr:rowOff>
    </xdr:to>
    <xdr:graphicFrame macro="">
      <xdr:nvGraphicFramePr>
        <xdr:cNvPr id="4" name="Chart 3">
          <a:extLst>
            <a:ext uri="{FF2B5EF4-FFF2-40B4-BE49-F238E27FC236}">
              <a16:creationId xmlns:a16="http://schemas.microsoft.com/office/drawing/2014/main" id="{E8389CF1-8113-4D59-8CF2-5E5E8D579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xdr:colOff>
      <xdr:row>2</xdr:row>
      <xdr:rowOff>152399</xdr:rowOff>
    </xdr:from>
    <xdr:to>
      <xdr:col>18</xdr:col>
      <xdr:colOff>539749</xdr:colOff>
      <xdr:row>12</xdr:row>
      <xdr:rowOff>23517</xdr:rowOff>
    </xdr:to>
    <xdr:graphicFrame macro="">
      <xdr:nvGraphicFramePr>
        <xdr:cNvPr id="5" name="Chart 4">
          <a:extLst>
            <a:ext uri="{FF2B5EF4-FFF2-40B4-BE49-F238E27FC236}">
              <a16:creationId xmlns:a16="http://schemas.microsoft.com/office/drawing/2014/main" id="{46B43073-9954-43E4-85EC-2EDF3AD0A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469900</xdr:colOff>
      <xdr:row>2</xdr:row>
      <xdr:rowOff>166999</xdr:rowOff>
    </xdr:from>
    <xdr:to>
      <xdr:col>9</xdr:col>
      <xdr:colOff>152400</xdr:colOff>
      <xdr:row>12</xdr:row>
      <xdr:rowOff>38116</xdr:rowOff>
    </xdr:to>
    <xdr:graphicFrame macro="">
      <xdr:nvGraphicFramePr>
        <xdr:cNvPr id="6" name="Chart 5">
          <a:extLst>
            <a:ext uri="{FF2B5EF4-FFF2-40B4-BE49-F238E27FC236}">
              <a16:creationId xmlns:a16="http://schemas.microsoft.com/office/drawing/2014/main" id="{CF8EF49E-4BD7-45F3-AB34-4D02F6640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122531</xdr:colOff>
      <xdr:row>12</xdr:row>
      <xdr:rowOff>120047</xdr:rowOff>
    </xdr:from>
    <xdr:to>
      <xdr:col>10</xdr:col>
      <xdr:colOff>236831</xdr:colOff>
      <xdr:row>24</xdr:row>
      <xdr:rowOff>34283</xdr:rowOff>
    </xdr:to>
    <xdr:graphicFrame macro="">
      <xdr:nvGraphicFramePr>
        <xdr:cNvPr id="7" name="Chart 6">
          <a:extLst>
            <a:ext uri="{FF2B5EF4-FFF2-40B4-BE49-F238E27FC236}">
              <a16:creationId xmlns:a16="http://schemas.microsoft.com/office/drawing/2014/main" id="{150C25B6-5BF1-49CD-A662-80F4D7D8F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298451</xdr:colOff>
      <xdr:row>12</xdr:row>
      <xdr:rowOff>102305</xdr:rowOff>
    </xdr:from>
    <xdr:to>
      <xdr:col>15</xdr:col>
      <xdr:colOff>525247</xdr:colOff>
      <xdr:row>24</xdr:row>
      <xdr:rowOff>39198</xdr:rowOff>
    </xdr:to>
    <xdr:graphicFrame macro="">
      <xdr:nvGraphicFramePr>
        <xdr:cNvPr id="8" name="Chart 7">
          <a:extLst>
            <a:ext uri="{FF2B5EF4-FFF2-40B4-BE49-F238E27FC236}">
              <a16:creationId xmlns:a16="http://schemas.microsoft.com/office/drawing/2014/main" id="{B87553BE-FA6F-49B2-8C12-7B4F1DE44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26458</xdr:colOff>
      <xdr:row>0</xdr:row>
      <xdr:rowOff>70556</xdr:rowOff>
    </xdr:from>
    <xdr:to>
      <xdr:col>17</xdr:col>
      <xdr:colOff>105834</xdr:colOff>
      <xdr:row>2</xdr:row>
      <xdr:rowOff>105833</xdr:rowOff>
    </xdr:to>
    <xdr:sp macro="" textlink="">
      <xdr:nvSpPr>
        <xdr:cNvPr id="9" name="Rectangle: Rounded Corners 8">
          <a:extLst>
            <a:ext uri="{FF2B5EF4-FFF2-40B4-BE49-F238E27FC236}">
              <a16:creationId xmlns:a16="http://schemas.microsoft.com/office/drawing/2014/main" id="{54EEE59A-67D2-EE8D-FF03-398D97D60B81}"/>
            </a:ext>
          </a:extLst>
        </xdr:cNvPr>
        <xdr:cNvSpPr/>
      </xdr:nvSpPr>
      <xdr:spPr>
        <a:xfrm>
          <a:off x="635000" y="70556"/>
          <a:ext cx="9816042" cy="40569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6350</xdr:colOff>
      <xdr:row>0</xdr:row>
      <xdr:rowOff>63500</xdr:rowOff>
    </xdr:from>
    <xdr:to>
      <xdr:col>15</xdr:col>
      <xdr:colOff>323850</xdr:colOff>
      <xdr:row>2</xdr:row>
      <xdr:rowOff>57150</xdr:rowOff>
    </xdr:to>
    <xdr:sp macro="" textlink="">
      <xdr:nvSpPr>
        <xdr:cNvPr id="10" name="TextBox 9">
          <a:extLst>
            <a:ext uri="{FF2B5EF4-FFF2-40B4-BE49-F238E27FC236}">
              <a16:creationId xmlns:a16="http://schemas.microsoft.com/office/drawing/2014/main" id="{D886490D-4920-71C8-9D8C-F8B268372584}"/>
            </a:ext>
          </a:extLst>
        </xdr:cNvPr>
        <xdr:cNvSpPr txBox="1"/>
      </xdr:nvSpPr>
      <xdr:spPr>
        <a:xfrm>
          <a:off x="2444750" y="63500"/>
          <a:ext cx="70231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tx1"/>
              </a:solidFill>
            </a:rPr>
            <a:t>SALES INSIGHT DASHBOARD</a:t>
          </a:r>
        </a:p>
      </xdr:txBody>
    </xdr:sp>
    <xdr:clientData/>
  </xdr:twoCellAnchor>
  <xdr:twoCellAnchor editAs="oneCell">
    <xdr:from>
      <xdr:col>15</xdr:col>
      <xdr:colOff>572376</xdr:colOff>
      <xdr:row>20</xdr:row>
      <xdr:rowOff>127000</xdr:rowOff>
    </xdr:from>
    <xdr:to>
      <xdr:col>18</xdr:col>
      <xdr:colOff>518218</xdr:colOff>
      <xdr:row>24</xdr:row>
      <xdr:rowOff>29196</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70FB2F1D-D847-3FD4-FE72-BA55AF12B54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716376" y="3810000"/>
              <a:ext cx="1774642" cy="6387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581500</xdr:colOff>
      <xdr:row>16</xdr:row>
      <xdr:rowOff>92331</xdr:rowOff>
    </xdr:from>
    <xdr:to>
      <xdr:col>18</xdr:col>
      <xdr:colOff>510920</xdr:colOff>
      <xdr:row>20</xdr:row>
      <xdr:rowOff>87586</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2BBBF482-C434-09EA-1776-DF9A024EBB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25500" y="3038731"/>
              <a:ext cx="1758220" cy="7318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590622</xdr:colOff>
      <xdr:row>12</xdr:row>
      <xdr:rowOff>101455</xdr:rowOff>
    </xdr:from>
    <xdr:to>
      <xdr:col>18</xdr:col>
      <xdr:colOff>503621</xdr:colOff>
      <xdr:row>16</xdr:row>
      <xdr:rowOff>21897</xdr:rowOff>
    </xdr:to>
    <mc:AlternateContent xmlns:mc="http://schemas.openxmlformats.org/markup-compatibility/2006" xmlns:a14="http://schemas.microsoft.com/office/drawing/2010/main">
      <mc:Choice Requires="a14">
        <xdr:graphicFrame macro="">
          <xdr:nvGraphicFramePr>
            <xdr:cNvPr id="13" name="Region_and_Sales_Rep">
              <a:extLst>
                <a:ext uri="{FF2B5EF4-FFF2-40B4-BE49-F238E27FC236}">
                  <a16:creationId xmlns:a16="http://schemas.microsoft.com/office/drawing/2014/main" id="{78952C7E-9AAE-271C-3A7B-6AAD9D4EC582}"/>
                </a:ext>
              </a:extLst>
            </xdr:cNvPr>
            <xdr:cNvGraphicFramePr/>
          </xdr:nvGraphicFramePr>
          <xdr:xfrm>
            <a:off x="0" y="0"/>
            <a:ext cx="0" cy="0"/>
          </xdr:xfrm>
          <a:graphic>
            <a:graphicData uri="http://schemas.microsoft.com/office/drawing/2010/slicer">
              <sle:slicer xmlns:sle="http://schemas.microsoft.com/office/drawing/2010/slicer" name="Region_and_Sales_Rep"/>
            </a:graphicData>
          </a:graphic>
        </xdr:graphicFrame>
      </mc:Choice>
      <mc:Fallback xmlns="">
        <xdr:sp macro="" textlink="">
          <xdr:nvSpPr>
            <xdr:cNvPr id="0" name=""/>
            <xdr:cNvSpPr>
              <a:spLocks noTextEdit="1"/>
            </xdr:cNvSpPr>
          </xdr:nvSpPr>
          <xdr:spPr>
            <a:xfrm>
              <a:off x="9734622" y="2311255"/>
              <a:ext cx="1741799" cy="6570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558800</xdr:colOff>
      <xdr:row>4</xdr:row>
      <xdr:rowOff>28575</xdr:rowOff>
    </xdr:from>
    <xdr:to>
      <xdr:col>7</xdr:col>
      <xdr:colOff>184150</xdr:colOff>
      <xdr:row>19</xdr:row>
      <xdr:rowOff>9525</xdr:rowOff>
    </xdr:to>
    <xdr:graphicFrame macro="">
      <xdr:nvGraphicFramePr>
        <xdr:cNvPr id="2" name="Chart 1">
          <a:extLst>
            <a:ext uri="{FF2B5EF4-FFF2-40B4-BE49-F238E27FC236}">
              <a16:creationId xmlns:a16="http://schemas.microsoft.com/office/drawing/2014/main" id="{DADD1A1C-91DF-7DBF-AD96-3158B4D1B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488950</xdr:colOff>
      <xdr:row>2</xdr:row>
      <xdr:rowOff>174625</xdr:rowOff>
    </xdr:from>
    <xdr:to>
      <xdr:col>6</xdr:col>
      <xdr:colOff>469900</xdr:colOff>
      <xdr:row>12</xdr:row>
      <xdr:rowOff>165100</xdr:rowOff>
    </xdr:to>
    <xdr:graphicFrame macro="">
      <xdr:nvGraphicFramePr>
        <xdr:cNvPr id="2" name="Chart 1">
          <a:extLst>
            <a:ext uri="{FF2B5EF4-FFF2-40B4-BE49-F238E27FC236}">
              <a16:creationId xmlns:a16="http://schemas.microsoft.com/office/drawing/2014/main" id="{D7F3E9A8-691C-B74B-7DAC-784F45C64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66675</xdr:colOff>
      <xdr:row>1</xdr:row>
      <xdr:rowOff>180975</xdr:rowOff>
    </xdr:from>
    <xdr:to>
      <xdr:col>9</xdr:col>
      <xdr:colOff>371475</xdr:colOff>
      <xdr:row>16</xdr:row>
      <xdr:rowOff>161925</xdr:rowOff>
    </xdr:to>
    <xdr:graphicFrame macro="">
      <xdr:nvGraphicFramePr>
        <xdr:cNvPr id="2" name="Chart 1">
          <a:extLst>
            <a:ext uri="{FF2B5EF4-FFF2-40B4-BE49-F238E27FC236}">
              <a16:creationId xmlns:a16="http://schemas.microsoft.com/office/drawing/2014/main" id="{71D1B17A-5F82-4F6A-A5E4-38A163123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269875</xdr:colOff>
      <xdr:row>2</xdr:row>
      <xdr:rowOff>168275</xdr:rowOff>
    </xdr:from>
    <xdr:to>
      <xdr:col>9</xdr:col>
      <xdr:colOff>574675</xdr:colOff>
      <xdr:row>17</xdr:row>
      <xdr:rowOff>149225</xdr:rowOff>
    </xdr:to>
    <xdr:graphicFrame macro="">
      <xdr:nvGraphicFramePr>
        <xdr:cNvPr id="2" name="Chart 1">
          <a:extLst>
            <a:ext uri="{FF2B5EF4-FFF2-40B4-BE49-F238E27FC236}">
              <a16:creationId xmlns:a16="http://schemas.microsoft.com/office/drawing/2014/main" id="{54F8E57E-CEFE-C426-64D4-B5DD918F3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22225</xdr:colOff>
      <xdr:row>4</xdr:row>
      <xdr:rowOff>28575</xdr:rowOff>
    </xdr:from>
    <xdr:to>
      <xdr:col>6</xdr:col>
      <xdr:colOff>552450</xdr:colOff>
      <xdr:row>13</xdr:row>
      <xdr:rowOff>69850</xdr:rowOff>
    </xdr:to>
    <xdr:graphicFrame macro="">
      <xdr:nvGraphicFramePr>
        <xdr:cNvPr id="2" name="Chart 1">
          <a:extLst>
            <a:ext uri="{FF2B5EF4-FFF2-40B4-BE49-F238E27FC236}">
              <a16:creationId xmlns:a16="http://schemas.microsoft.com/office/drawing/2014/main" id="{C8BCD0DE-B63B-6C06-5791-C6192A083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3175</xdr:colOff>
      <xdr:row>4</xdr:row>
      <xdr:rowOff>28575</xdr:rowOff>
    </xdr:from>
    <xdr:to>
      <xdr:col>10</xdr:col>
      <xdr:colOff>307975</xdr:colOff>
      <xdr:row>19</xdr:row>
      <xdr:rowOff>9525</xdr:rowOff>
    </xdr:to>
    <xdr:graphicFrame macro="">
      <xdr:nvGraphicFramePr>
        <xdr:cNvPr id="2" name="Chart 1">
          <a:extLst>
            <a:ext uri="{FF2B5EF4-FFF2-40B4-BE49-F238E27FC236}">
              <a16:creationId xmlns:a16="http://schemas.microsoft.com/office/drawing/2014/main" id="{3FA97799-97D6-D5BC-4E6D-F8F8575FE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3175</xdr:colOff>
      <xdr:row>4</xdr:row>
      <xdr:rowOff>28575</xdr:rowOff>
    </xdr:from>
    <xdr:to>
      <xdr:col>10</xdr:col>
      <xdr:colOff>307975</xdr:colOff>
      <xdr:row>19</xdr:row>
      <xdr:rowOff>9525</xdr:rowOff>
    </xdr:to>
    <xdr:graphicFrame macro="">
      <xdr:nvGraphicFramePr>
        <xdr:cNvPr id="2" name="Chart 1">
          <a:extLst>
            <a:ext uri="{FF2B5EF4-FFF2-40B4-BE49-F238E27FC236}">
              <a16:creationId xmlns:a16="http://schemas.microsoft.com/office/drawing/2014/main" id="{E9EE96A4-D4E9-12A6-A5D8-E99852760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498475</xdr:colOff>
      <xdr:row>4</xdr:row>
      <xdr:rowOff>28575</xdr:rowOff>
    </xdr:from>
    <xdr:to>
      <xdr:col>8</xdr:col>
      <xdr:colOff>463550</xdr:colOff>
      <xdr:row>15</xdr:row>
      <xdr:rowOff>19050</xdr:rowOff>
    </xdr:to>
    <xdr:graphicFrame macro="">
      <xdr:nvGraphicFramePr>
        <xdr:cNvPr id="2" name="Chart 1">
          <a:extLst>
            <a:ext uri="{FF2B5EF4-FFF2-40B4-BE49-F238E27FC236}">
              <a16:creationId xmlns:a16="http://schemas.microsoft.com/office/drawing/2014/main" id="{3DFF6A4D-706B-54FC-750B-373485AB0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ia Chukwu" refreshedDate="45940.943080324076" createdVersion="8" refreshedVersion="8" minRefreshableVersion="3" recordCount="1000" xr:uid="{7F014853-9315-4E00-B753-AB4AE633B9F6}">
  <cacheSource type="worksheet">
    <worksheetSource name="Sales"/>
  </cacheSource>
  <cacheFields count="17">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YEAR" numFmtId="14">
      <sharedItems/>
    </cacheField>
    <cacheField name="Month" numFmtId="14">
      <sharedItems count="12">
        <s v="February"/>
        <s v="April"/>
        <s v="September"/>
        <s v="August"/>
        <s v="March"/>
        <s v="January"/>
        <s v="June"/>
        <s v="October"/>
        <s v="November"/>
        <s v="December"/>
        <s v="May"/>
        <s v="July"/>
      </sharedItems>
    </cacheField>
    <cacheField name="Day" numFmtId="14">
      <sharedItems/>
    </cacheField>
    <cacheField name="Sales_Rep" numFmtId="0">
      <sharedItems count="5">
        <s v="Bob"/>
        <s v="David"/>
        <s v="Charlie"/>
        <s v="Eve"/>
        <s v="Alice"/>
      </sharedItems>
    </cacheField>
    <cacheField name="Region" numFmtId="0">
      <sharedItems count="4">
        <s v="North"/>
        <s v="West"/>
        <s v="South"/>
        <s v="East"/>
      </sharedItems>
    </cacheField>
    <cacheField name="Revenue" numFmtId="164">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164">
      <sharedItems containsSemiMixedTypes="0" containsString="0" containsNumber="1" minValue="60.28" maxValue="4995.3"/>
    </cacheField>
    <cacheField name="Unit_Price" numFmtId="164">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s>
  <extLst>
    <ext xmlns:x14="http://schemas.microsoft.com/office/spreadsheetml/2009/9/main" uri="{725AE2AE-9491-48be-B2B4-4EB974FC3084}">
      <x14:pivotCacheDefinition pivotCacheId="1578791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s v="2023"/>
    <x v="0"/>
    <s v="Friday"/>
    <x v="0"/>
    <x v="0"/>
    <x v="0"/>
    <n v="18"/>
    <x v="0"/>
    <n v="152.75"/>
    <n v="267.22000000000003"/>
    <x v="0"/>
    <n v="0.09"/>
    <x v="0"/>
    <x v="0"/>
    <x v="0"/>
  </r>
  <r>
    <n v="1093"/>
    <d v="2023-04-21T00:00:00"/>
    <s v="2023"/>
    <x v="1"/>
    <s v="Friday"/>
    <x v="0"/>
    <x v="1"/>
    <x v="1"/>
    <n v="17"/>
    <x v="0"/>
    <n v="3816.39"/>
    <n v="4209.4399999999996"/>
    <x v="0"/>
    <n v="0.11"/>
    <x v="0"/>
    <x v="1"/>
    <x v="1"/>
  </r>
  <r>
    <n v="1015"/>
    <d v="2023-09-21T00:00:00"/>
    <s v="2023"/>
    <x v="2"/>
    <s v="Thursday"/>
    <x v="1"/>
    <x v="2"/>
    <x v="2"/>
    <n v="30"/>
    <x v="1"/>
    <n v="261.56"/>
    <n v="371.4"/>
    <x v="0"/>
    <n v="0.2"/>
    <x v="1"/>
    <x v="1"/>
    <x v="2"/>
  </r>
  <r>
    <n v="1072"/>
    <d v="2023-08-24T00:00:00"/>
    <s v="2023"/>
    <x v="3"/>
    <s v="Thursday"/>
    <x v="0"/>
    <x v="2"/>
    <x v="3"/>
    <n v="39"/>
    <x v="2"/>
    <n v="4330.03"/>
    <n v="4467.75"/>
    <x v="1"/>
    <n v="0.02"/>
    <x v="2"/>
    <x v="1"/>
    <x v="3"/>
  </r>
  <r>
    <n v="1061"/>
    <d v="2023-03-24T00:00:00"/>
    <s v="2023"/>
    <x v="4"/>
    <s v="Friday"/>
    <x v="2"/>
    <x v="3"/>
    <x v="4"/>
    <n v="13"/>
    <x v="3"/>
    <n v="637.37"/>
    <n v="692.71"/>
    <x v="1"/>
    <n v="0.08"/>
    <x v="2"/>
    <x v="0"/>
    <x v="4"/>
  </r>
  <r>
    <n v="1021"/>
    <d v="2023-02-11T00:00:00"/>
    <s v="2023"/>
    <x v="0"/>
    <s v="Saturday"/>
    <x v="2"/>
    <x v="1"/>
    <x v="5"/>
    <n v="32"/>
    <x v="1"/>
    <n v="900.79"/>
    <n v="1106.51"/>
    <x v="1"/>
    <n v="0.21"/>
    <x v="0"/>
    <x v="0"/>
    <x v="5"/>
  </r>
  <r>
    <n v="1083"/>
    <d v="2023-04-11T00:00:00"/>
    <s v="2023"/>
    <x v="1"/>
    <s v="Tuesday"/>
    <x v="0"/>
    <x v="1"/>
    <x v="6"/>
    <n v="29"/>
    <x v="0"/>
    <n v="2408.81"/>
    <n v="2624.09"/>
    <x v="0"/>
    <n v="0.14000000000000001"/>
    <x v="0"/>
    <x v="0"/>
    <x v="1"/>
  </r>
  <r>
    <n v="1087"/>
    <d v="2023-01-06T00:00:00"/>
    <s v="2023"/>
    <x v="5"/>
    <s v="Friday"/>
    <x v="3"/>
    <x v="2"/>
    <x v="7"/>
    <n v="46"/>
    <x v="0"/>
    <n v="3702.51"/>
    <n v="3964.65"/>
    <x v="1"/>
    <n v="0.12"/>
    <x v="1"/>
    <x v="0"/>
    <x v="6"/>
  </r>
  <r>
    <n v="1075"/>
    <d v="2023-06-29T00:00:00"/>
    <s v="2023"/>
    <x v="6"/>
    <s v="Thursday"/>
    <x v="1"/>
    <x v="2"/>
    <x v="8"/>
    <n v="30"/>
    <x v="0"/>
    <n v="738.06"/>
    <n v="1095.44999999999"/>
    <x v="1"/>
    <n v="0.05"/>
    <x v="1"/>
    <x v="0"/>
    <x v="2"/>
  </r>
  <r>
    <n v="1075"/>
    <d v="2023-10-09T00:00:00"/>
    <s v="2023"/>
    <x v="7"/>
    <s v="Monday"/>
    <x v="2"/>
    <x v="1"/>
    <x v="9"/>
    <n v="18"/>
    <x v="2"/>
    <n v="2228.35"/>
    <n v="2682.34"/>
    <x v="1"/>
    <n v="0.13"/>
    <x v="1"/>
    <x v="0"/>
    <x v="5"/>
  </r>
  <r>
    <n v="1088"/>
    <d v="2023-11-16T00:00:00"/>
    <s v="2023"/>
    <x v="8"/>
    <s v="Thursday"/>
    <x v="3"/>
    <x v="0"/>
    <x v="10"/>
    <n v="13"/>
    <x v="0"/>
    <n v="2440.11"/>
    <n v="2517.6"/>
    <x v="1"/>
    <n v="0.23"/>
    <x v="1"/>
    <x v="1"/>
    <x v="7"/>
  </r>
  <r>
    <n v="1100"/>
    <d v="2023-08-14T00:00:00"/>
    <s v="2023"/>
    <x v="3"/>
    <s v="Monday"/>
    <x v="0"/>
    <x v="1"/>
    <x v="11"/>
    <n v="43"/>
    <x v="1"/>
    <n v="1100.81"/>
    <n v="1137.44"/>
    <x v="0"/>
    <n v="0.08"/>
    <x v="1"/>
    <x v="0"/>
    <x v="1"/>
  </r>
  <r>
    <n v="1024"/>
    <d v="2023-11-11T00:00:00"/>
    <s v="2023"/>
    <x v="8"/>
    <s v="Saturday"/>
    <x v="3"/>
    <x v="1"/>
    <x v="12"/>
    <n v="21"/>
    <x v="1"/>
    <n v="622.01"/>
    <n v="641.09"/>
    <x v="0"/>
    <n v="0"/>
    <x v="1"/>
    <x v="1"/>
    <x v="8"/>
  </r>
  <r>
    <n v="1003"/>
    <d v="2023-12-31T00:00:00"/>
    <s v="2023"/>
    <x v="9"/>
    <s v="Sunday"/>
    <x v="4"/>
    <x v="2"/>
    <x v="13"/>
    <n v="30"/>
    <x v="0"/>
    <n v="4190.28"/>
    <n v="4270.6499999999996"/>
    <x v="1"/>
    <n v="0.2"/>
    <x v="0"/>
    <x v="0"/>
    <x v="9"/>
  </r>
  <r>
    <n v="1022"/>
    <d v="2023-08-17T00:00:00"/>
    <s v="2023"/>
    <x v="3"/>
    <s v="Thursday"/>
    <x v="2"/>
    <x v="2"/>
    <x v="14"/>
    <n v="21"/>
    <x v="1"/>
    <n v="2537.1999999999998"/>
    <n v="2869.6"/>
    <x v="1"/>
    <n v="0.28999999999999998"/>
    <x v="1"/>
    <x v="1"/>
    <x v="10"/>
  </r>
  <r>
    <n v="1053"/>
    <d v="2023-10-16T00:00:00"/>
    <s v="2023"/>
    <x v="7"/>
    <s v="Monday"/>
    <x v="0"/>
    <x v="0"/>
    <x v="15"/>
    <n v="48"/>
    <x v="0"/>
    <n v="121.19"/>
    <n v="487.65"/>
    <x v="1"/>
    <n v="0.18"/>
    <x v="0"/>
    <x v="1"/>
    <x v="0"/>
  </r>
  <r>
    <n v="1002"/>
    <d v="2023-05-30T00:00:00"/>
    <s v="2023"/>
    <x v="10"/>
    <s v="Tuesday"/>
    <x v="1"/>
    <x v="0"/>
    <x v="16"/>
    <n v="17"/>
    <x v="0"/>
    <n v="4024.76"/>
    <n v="4420.1499999999996"/>
    <x v="0"/>
    <n v="0.04"/>
    <x v="0"/>
    <x v="0"/>
    <x v="11"/>
  </r>
  <r>
    <n v="1088"/>
    <d v="2023-10-04T00:00:00"/>
    <s v="2023"/>
    <x v="7"/>
    <s v="Wednesday"/>
    <x v="0"/>
    <x v="3"/>
    <x v="17"/>
    <n v="40"/>
    <x v="3"/>
    <n v="4904.93"/>
    <n v="5034.3500000000004"/>
    <x v="1"/>
    <n v="0.1"/>
    <x v="2"/>
    <x v="1"/>
    <x v="12"/>
  </r>
  <r>
    <n v="1030"/>
    <d v="2023-07-17T00:00:00"/>
    <s v="2023"/>
    <x v="11"/>
    <s v="Monday"/>
    <x v="1"/>
    <x v="1"/>
    <x v="18"/>
    <n v="19"/>
    <x v="2"/>
    <n v="3049.33"/>
    <n v="3209.22"/>
    <x v="0"/>
    <n v="0.26"/>
    <x v="0"/>
    <x v="0"/>
    <x v="13"/>
  </r>
  <r>
    <n v="1038"/>
    <d v="2023-03-11T00:00:00"/>
    <s v="2023"/>
    <x v="4"/>
    <s v="Saturday"/>
    <x v="0"/>
    <x v="2"/>
    <x v="19"/>
    <n v="15"/>
    <x v="2"/>
    <n v="2543.36"/>
    <n v="2790.1"/>
    <x v="0"/>
    <n v="7.0000000000000007E-2"/>
    <x v="0"/>
    <x v="0"/>
    <x v="3"/>
  </r>
  <r>
    <n v="1002"/>
    <d v="2023-04-22T00:00:00"/>
    <s v="2023"/>
    <x v="1"/>
    <s v="Saturday"/>
    <x v="3"/>
    <x v="0"/>
    <x v="20"/>
    <n v="9"/>
    <x v="3"/>
    <n v="4398.16"/>
    <n v="4439.12"/>
    <x v="1"/>
    <n v="0.18"/>
    <x v="1"/>
    <x v="0"/>
    <x v="7"/>
  </r>
  <r>
    <n v="1064"/>
    <d v="2023-01-04T00:00:00"/>
    <s v="2023"/>
    <x v="5"/>
    <s v="Wednesday"/>
    <x v="3"/>
    <x v="3"/>
    <x v="21"/>
    <n v="10"/>
    <x v="3"/>
    <n v="4764.96"/>
    <n v="5074.42"/>
    <x v="1"/>
    <n v="0.12"/>
    <x v="0"/>
    <x v="0"/>
    <x v="14"/>
  </r>
  <r>
    <n v="1060"/>
    <d v="2023-12-16T00:00:00"/>
    <s v="2023"/>
    <x v="9"/>
    <s v="Saturday"/>
    <x v="3"/>
    <x v="3"/>
    <x v="22"/>
    <n v="44"/>
    <x v="2"/>
    <n v="3784.96"/>
    <n v="4276.99"/>
    <x v="1"/>
    <n v="0.06"/>
    <x v="1"/>
    <x v="1"/>
    <x v="14"/>
  </r>
  <r>
    <n v="1021"/>
    <d v="2023-11-27T00:00:00"/>
    <s v="2023"/>
    <x v="8"/>
    <s v="Monday"/>
    <x v="4"/>
    <x v="2"/>
    <x v="23"/>
    <n v="31"/>
    <x v="0"/>
    <n v="2254.9899999999998"/>
    <n v="2441.79"/>
    <x v="0"/>
    <n v="0.24"/>
    <x v="1"/>
    <x v="0"/>
    <x v="9"/>
  </r>
  <r>
    <n v="1033"/>
    <d v="2023-11-14T00:00:00"/>
    <s v="2023"/>
    <x v="8"/>
    <s v="Tuesday"/>
    <x v="1"/>
    <x v="2"/>
    <x v="24"/>
    <n v="23"/>
    <x v="0"/>
    <n v="2981.5"/>
    <n v="3360.4"/>
    <x v="0"/>
    <n v="0.22"/>
    <x v="1"/>
    <x v="1"/>
    <x v="2"/>
  </r>
  <r>
    <n v="1076"/>
    <d v="2023-12-16T00:00:00"/>
    <s v="2023"/>
    <x v="9"/>
    <s v="Saturday"/>
    <x v="3"/>
    <x v="3"/>
    <x v="25"/>
    <n v="30"/>
    <x v="2"/>
    <n v="3519.63"/>
    <n v="3774.65"/>
    <x v="1"/>
    <n v="0.2"/>
    <x v="2"/>
    <x v="1"/>
    <x v="14"/>
  </r>
  <r>
    <n v="1058"/>
    <d v="2023-04-05T00:00:00"/>
    <s v="2023"/>
    <x v="1"/>
    <s v="Wednesday"/>
    <x v="4"/>
    <x v="0"/>
    <x v="26"/>
    <n v="33"/>
    <x v="0"/>
    <n v="1011.65"/>
    <n v="1084.28"/>
    <x v="0"/>
    <n v="7.0000000000000007E-2"/>
    <x v="1"/>
    <x v="1"/>
    <x v="15"/>
  </r>
  <r>
    <n v="1022"/>
    <d v="2023-06-01T00:00:00"/>
    <s v="2023"/>
    <x v="6"/>
    <s v="Thursday"/>
    <x v="1"/>
    <x v="3"/>
    <x v="27"/>
    <n v="9"/>
    <x v="3"/>
    <n v="2263.65"/>
    <n v="2558.9499999999998"/>
    <x v="1"/>
    <n v="0.03"/>
    <x v="0"/>
    <x v="0"/>
    <x v="16"/>
  </r>
  <r>
    <n v="1089"/>
    <d v="2023-11-07T00:00:00"/>
    <s v="2023"/>
    <x v="8"/>
    <s v="Tuesday"/>
    <x v="0"/>
    <x v="1"/>
    <x v="28"/>
    <n v="47"/>
    <x v="0"/>
    <n v="4157.62"/>
    <n v="4314.5599999999904"/>
    <x v="1"/>
    <n v="0.17"/>
    <x v="1"/>
    <x v="1"/>
    <x v="1"/>
  </r>
  <r>
    <n v="1049"/>
    <d v="2023-05-17T00:00:00"/>
    <s v="2023"/>
    <x v="10"/>
    <s v="Wednesday"/>
    <x v="4"/>
    <x v="1"/>
    <x v="29"/>
    <n v="1"/>
    <x v="0"/>
    <n v="3290.89"/>
    <n v="3317.75"/>
    <x v="0"/>
    <n v="0.17"/>
    <x v="1"/>
    <x v="0"/>
    <x v="17"/>
  </r>
  <r>
    <n v="1091"/>
    <d v="2023-09-04T00:00:00"/>
    <s v="2023"/>
    <x v="2"/>
    <s v="Monday"/>
    <x v="2"/>
    <x v="2"/>
    <x v="30"/>
    <n v="44"/>
    <x v="1"/>
    <n v="2085.46"/>
    <n v="2406.58"/>
    <x v="0"/>
    <n v="0.06"/>
    <x v="1"/>
    <x v="1"/>
    <x v="10"/>
  </r>
  <r>
    <n v="1059"/>
    <d v="2023-08-31T00:00:00"/>
    <s v="2023"/>
    <x v="3"/>
    <s v="Thursday"/>
    <x v="4"/>
    <x v="0"/>
    <x v="31"/>
    <n v="35"/>
    <x v="1"/>
    <n v="3333.64"/>
    <n v="3764.52"/>
    <x v="0"/>
    <n v="0.02"/>
    <x v="2"/>
    <x v="0"/>
    <x v="15"/>
  </r>
  <r>
    <n v="1042"/>
    <d v="2023-01-31T00:00:00"/>
    <s v="2023"/>
    <x v="5"/>
    <s v="Tuesday"/>
    <x v="4"/>
    <x v="0"/>
    <x v="32"/>
    <n v="11"/>
    <x v="1"/>
    <n v="635.20000000000005"/>
    <n v="814.14"/>
    <x v="0"/>
    <n v="0.02"/>
    <x v="0"/>
    <x v="0"/>
    <x v="15"/>
  </r>
  <r>
    <n v="1092"/>
    <d v="2023-02-09T00:00:00"/>
    <s v="2023"/>
    <x v="0"/>
    <s v="Thursday"/>
    <x v="1"/>
    <x v="1"/>
    <x v="33"/>
    <n v="34"/>
    <x v="0"/>
    <n v="2037.41"/>
    <n v="2238.65"/>
    <x v="1"/>
    <n v="0.3"/>
    <x v="2"/>
    <x v="0"/>
    <x v="13"/>
  </r>
  <r>
    <n v="1060"/>
    <d v="2023-08-17T00:00:00"/>
    <s v="2023"/>
    <x v="3"/>
    <s v="Thursday"/>
    <x v="0"/>
    <x v="3"/>
    <x v="34"/>
    <n v="16"/>
    <x v="2"/>
    <n v="3975.99"/>
    <n v="4422.59"/>
    <x v="1"/>
    <n v="0.24"/>
    <x v="0"/>
    <x v="0"/>
    <x v="12"/>
  </r>
  <r>
    <n v="1080"/>
    <d v="2023-02-05T00:00:00"/>
    <s v="2023"/>
    <x v="0"/>
    <s v="Sunday"/>
    <x v="2"/>
    <x v="2"/>
    <x v="35"/>
    <n v="9"/>
    <x v="3"/>
    <n v="1141.52"/>
    <n v="1550.19"/>
    <x v="1"/>
    <n v="0.28000000000000003"/>
    <x v="2"/>
    <x v="1"/>
    <x v="10"/>
  </r>
  <r>
    <n v="1015"/>
    <d v="2023-08-11T00:00:00"/>
    <s v="2023"/>
    <x v="3"/>
    <s v="Friday"/>
    <x v="3"/>
    <x v="3"/>
    <x v="36"/>
    <n v="32"/>
    <x v="0"/>
    <n v="970.51"/>
    <n v="1330.84"/>
    <x v="0"/>
    <n v="0.06"/>
    <x v="0"/>
    <x v="1"/>
    <x v="14"/>
  </r>
  <r>
    <n v="1062"/>
    <d v="2023-01-06T00:00:00"/>
    <s v="2023"/>
    <x v="5"/>
    <s v="Friday"/>
    <x v="3"/>
    <x v="3"/>
    <x v="37"/>
    <n v="15"/>
    <x v="2"/>
    <n v="4756.55"/>
    <n v="4888.46"/>
    <x v="1"/>
    <n v="0.28999999999999998"/>
    <x v="2"/>
    <x v="0"/>
    <x v="14"/>
  </r>
  <r>
    <n v="1062"/>
    <d v="2023-11-18T00:00:00"/>
    <s v="2023"/>
    <x v="8"/>
    <s v="Saturday"/>
    <x v="4"/>
    <x v="3"/>
    <x v="38"/>
    <n v="12"/>
    <x v="0"/>
    <n v="1088.99"/>
    <n v="1545"/>
    <x v="0"/>
    <n v="0.04"/>
    <x v="1"/>
    <x v="1"/>
    <x v="18"/>
  </r>
  <r>
    <n v="1047"/>
    <d v="2023-08-08T00:00:00"/>
    <s v="2023"/>
    <x v="3"/>
    <s v="Tuesday"/>
    <x v="1"/>
    <x v="0"/>
    <x v="39"/>
    <n v="33"/>
    <x v="3"/>
    <n v="1341.55"/>
    <n v="1427.21"/>
    <x v="0"/>
    <n v="0.15"/>
    <x v="2"/>
    <x v="0"/>
    <x v="11"/>
  </r>
  <r>
    <n v="1062"/>
    <d v="2023-03-16T00:00:00"/>
    <s v="2023"/>
    <x v="4"/>
    <s v="Thursday"/>
    <x v="1"/>
    <x v="1"/>
    <x v="40"/>
    <n v="45"/>
    <x v="0"/>
    <n v="4849.6000000000004"/>
    <n v="5166.72"/>
    <x v="0"/>
    <n v="0.25"/>
    <x v="2"/>
    <x v="0"/>
    <x v="13"/>
  </r>
  <r>
    <n v="1051"/>
    <d v="2023-01-04T00:00:00"/>
    <s v="2023"/>
    <x v="5"/>
    <s v="Wednesday"/>
    <x v="3"/>
    <x v="0"/>
    <x v="41"/>
    <n v="14"/>
    <x v="3"/>
    <n v="3686.81"/>
    <n v="3710.92"/>
    <x v="1"/>
    <n v="0.1"/>
    <x v="1"/>
    <x v="1"/>
    <x v="7"/>
  </r>
  <r>
    <n v="1055"/>
    <d v="2023-12-01T00:00:00"/>
    <s v="2023"/>
    <x v="9"/>
    <s v="Friday"/>
    <x v="2"/>
    <x v="1"/>
    <x v="42"/>
    <n v="8"/>
    <x v="0"/>
    <n v="3513"/>
    <n v="3838.42"/>
    <x v="0"/>
    <n v="0.13"/>
    <x v="1"/>
    <x v="0"/>
    <x v="5"/>
  </r>
  <r>
    <n v="1064"/>
    <d v="2023-05-14T00:00:00"/>
    <s v="2023"/>
    <x v="10"/>
    <s v="Sunday"/>
    <x v="0"/>
    <x v="2"/>
    <x v="43"/>
    <n v="8"/>
    <x v="3"/>
    <n v="4271.99"/>
    <n v="4417.79"/>
    <x v="0"/>
    <n v="0.04"/>
    <x v="0"/>
    <x v="0"/>
    <x v="3"/>
  </r>
  <r>
    <n v="1003"/>
    <d v="2023-04-28T00:00:00"/>
    <s v="2023"/>
    <x v="1"/>
    <s v="Friday"/>
    <x v="2"/>
    <x v="2"/>
    <x v="44"/>
    <n v="27"/>
    <x v="0"/>
    <n v="623.32000000000005"/>
    <n v="853.66"/>
    <x v="0"/>
    <n v="0.04"/>
    <x v="0"/>
    <x v="0"/>
    <x v="10"/>
  </r>
  <r>
    <n v="1051"/>
    <d v="2023-04-04T00:00:00"/>
    <s v="2023"/>
    <x v="1"/>
    <s v="Tuesday"/>
    <x v="0"/>
    <x v="3"/>
    <x v="45"/>
    <n v="12"/>
    <x v="3"/>
    <n v="3544.48"/>
    <n v="3723.66"/>
    <x v="0"/>
    <n v="0.19"/>
    <x v="0"/>
    <x v="0"/>
    <x v="12"/>
  </r>
  <r>
    <n v="1007"/>
    <d v="2023-03-03T00:00:00"/>
    <s v="2023"/>
    <x v="4"/>
    <s v="Friday"/>
    <x v="3"/>
    <x v="1"/>
    <x v="46"/>
    <n v="1"/>
    <x v="1"/>
    <n v="2543.2600000000002"/>
    <n v="2637.91"/>
    <x v="0"/>
    <n v="0.2"/>
    <x v="2"/>
    <x v="0"/>
    <x v="8"/>
  </r>
  <r>
    <n v="1021"/>
    <d v="2023-07-13T00:00:00"/>
    <s v="2023"/>
    <x v="11"/>
    <s v="Thursday"/>
    <x v="0"/>
    <x v="1"/>
    <x v="47"/>
    <n v="43"/>
    <x v="0"/>
    <n v="4154.3"/>
    <n v="4469.07"/>
    <x v="0"/>
    <n v="0.23"/>
    <x v="0"/>
    <x v="1"/>
    <x v="1"/>
  </r>
  <r>
    <n v="1073"/>
    <d v="2023-12-01T00:00:00"/>
    <s v="2023"/>
    <x v="9"/>
    <s v="Friday"/>
    <x v="1"/>
    <x v="1"/>
    <x v="48"/>
    <n v="40"/>
    <x v="0"/>
    <n v="2565.3000000000002"/>
    <n v="3007.47"/>
    <x v="0"/>
    <n v="0.17"/>
    <x v="2"/>
    <x v="1"/>
    <x v="13"/>
  </r>
  <r>
    <n v="1039"/>
    <d v="2023-07-22T00:00:00"/>
    <s v="2023"/>
    <x v="11"/>
    <s v="Saturday"/>
    <x v="4"/>
    <x v="3"/>
    <x v="49"/>
    <n v="42"/>
    <x v="2"/>
    <n v="3120.19"/>
    <n v="3600.14"/>
    <x v="0"/>
    <n v="0.19"/>
    <x v="2"/>
    <x v="1"/>
    <x v="18"/>
  </r>
  <r>
    <n v="1018"/>
    <d v="2023-01-26T00:00:00"/>
    <s v="2023"/>
    <x v="5"/>
    <s v="Thursday"/>
    <x v="4"/>
    <x v="3"/>
    <x v="50"/>
    <n v="11"/>
    <x v="2"/>
    <n v="2414.8200000000002"/>
    <n v="2519.0700000000002"/>
    <x v="0"/>
    <n v="0"/>
    <x v="0"/>
    <x v="0"/>
    <x v="18"/>
  </r>
  <r>
    <n v="1004"/>
    <d v="2023-06-22T00:00:00"/>
    <s v="2023"/>
    <x v="6"/>
    <s v="Thursday"/>
    <x v="3"/>
    <x v="2"/>
    <x v="51"/>
    <n v="39"/>
    <x v="3"/>
    <n v="2416.89"/>
    <n v="2778.3999999999901"/>
    <x v="0"/>
    <n v="0.05"/>
    <x v="0"/>
    <x v="0"/>
    <x v="6"/>
  </r>
  <r>
    <n v="1089"/>
    <d v="2023-10-27T00:00:00"/>
    <s v="2023"/>
    <x v="7"/>
    <s v="Friday"/>
    <x v="1"/>
    <x v="0"/>
    <x v="52"/>
    <n v="43"/>
    <x v="0"/>
    <n v="3851.45"/>
    <n v="4186.9799999999996"/>
    <x v="0"/>
    <n v="0.3"/>
    <x v="2"/>
    <x v="0"/>
    <x v="11"/>
  </r>
  <r>
    <n v="1060"/>
    <d v="2023-05-13T00:00:00"/>
    <s v="2023"/>
    <x v="10"/>
    <s v="Saturday"/>
    <x v="2"/>
    <x v="1"/>
    <x v="53"/>
    <n v="31"/>
    <x v="3"/>
    <n v="3161.4"/>
    <n v="3339.66"/>
    <x v="0"/>
    <n v="0.02"/>
    <x v="1"/>
    <x v="0"/>
    <x v="5"/>
  </r>
  <r>
    <n v="1014"/>
    <d v="2023-11-22T00:00:00"/>
    <s v="2023"/>
    <x v="8"/>
    <s v="Wednesday"/>
    <x v="1"/>
    <x v="1"/>
    <x v="54"/>
    <n v="17"/>
    <x v="1"/>
    <n v="3184.65"/>
    <n v="3204.01"/>
    <x v="1"/>
    <n v="0.2"/>
    <x v="1"/>
    <x v="0"/>
    <x v="13"/>
  </r>
  <r>
    <n v="1009"/>
    <d v="2023-04-28T00:00:00"/>
    <s v="2023"/>
    <x v="1"/>
    <s v="Friday"/>
    <x v="4"/>
    <x v="0"/>
    <x v="55"/>
    <n v="33"/>
    <x v="2"/>
    <n v="2278.9"/>
    <n v="2626.9"/>
    <x v="1"/>
    <n v="0.05"/>
    <x v="2"/>
    <x v="0"/>
    <x v="15"/>
  </r>
  <r>
    <n v="1090"/>
    <d v="2023-11-20T00:00:00"/>
    <s v="2023"/>
    <x v="8"/>
    <s v="Monday"/>
    <x v="4"/>
    <x v="1"/>
    <x v="56"/>
    <n v="32"/>
    <x v="3"/>
    <n v="2678.99"/>
    <n v="3152.2799999999902"/>
    <x v="0"/>
    <n v="0.22"/>
    <x v="0"/>
    <x v="1"/>
    <x v="17"/>
  </r>
  <r>
    <n v="1053"/>
    <d v="2023-10-02T00:00:00"/>
    <s v="2023"/>
    <x v="7"/>
    <s v="Monday"/>
    <x v="1"/>
    <x v="3"/>
    <x v="57"/>
    <n v="29"/>
    <x v="3"/>
    <n v="3741.3"/>
    <n v="4061.04"/>
    <x v="0"/>
    <n v="0.21"/>
    <x v="2"/>
    <x v="0"/>
    <x v="16"/>
  </r>
  <r>
    <n v="1002"/>
    <d v="2023-07-31T00:00:00"/>
    <s v="2023"/>
    <x v="11"/>
    <s v="Monday"/>
    <x v="1"/>
    <x v="3"/>
    <x v="58"/>
    <n v="21"/>
    <x v="2"/>
    <n v="4138.41"/>
    <n v="4361.7"/>
    <x v="0"/>
    <n v="7.0000000000000007E-2"/>
    <x v="2"/>
    <x v="1"/>
    <x v="16"/>
  </r>
  <r>
    <n v="1084"/>
    <d v="2023-08-13T00:00:00"/>
    <s v="2023"/>
    <x v="3"/>
    <s v="Sunday"/>
    <x v="4"/>
    <x v="1"/>
    <x v="59"/>
    <n v="21"/>
    <x v="0"/>
    <n v="3497.98"/>
    <n v="3765.31"/>
    <x v="1"/>
    <n v="0.08"/>
    <x v="0"/>
    <x v="0"/>
    <x v="17"/>
  </r>
  <r>
    <n v="1092"/>
    <d v="2023-01-20T00:00:00"/>
    <s v="2023"/>
    <x v="5"/>
    <s v="Friday"/>
    <x v="2"/>
    <x v="3"/>
    <x v="60"/>
    <n v="40"/>
    <x v="3"/>
    <n v="4624.16"/>
    <n v="4731.9799999999996"/>
    <x v="1"/>
    <n v="0.2"/>
    <x v="1"/>
    <x v="1"/>
    <x v="4"/>
  </r>
  <r>
    <n v="1060"/>
    <d v="2023-04-23T00:00:00"/>
    <s v="2023"/>
    <x v="1"/>
    <s v="Sunday"/>
    <x v="3"/>
    <x v="3"/>
    <x v="61"/>
    <n v="23"/>
    <x v="2"/>
    <n v="4110.6000000000004"/>
    <n v="4488.37"/>
    <x v="1"/>
    <n v="0.12"/>
    <x v="2"/>
    <x v="0"/>
    <x v="14"/>
  </r>
  <r>
    <n v="1071"/>
    <d v="2023-05-20T00:00:00"/>
    <s v="2023"/>
    <x v="10"/>
    <s v="Saturday"/>
    <x v="3"/>
    <x v="1"/>
    <x v="62"/>
    <n v="6"/>
    <x v="0"/>
    <n v="2831.23"/>
    <n v="3206.98"/>
    <x v="0"/>
    <n v="0.06"/>
    <x v="1"/>
    <x v="1"/>
    <x v="8"/>
  </r>
  <r>
    <n v="1044"/>
    <d v="2023-02-16T00:00:00"/>
    <s v="2023"/>
    <x v="0"/>
    <s v="Thursday"/>
    <x v="1"/>
    <x v="2"/>
    <x v="63"/>
    <n v="22"/>
    <x v="1"/>
    <n v="3373.46"/>
    <n v="3454.76"/>
    <x v="0"/>
    <n v="0.22"/>
    <x v="1"/>
    <x v="1"/>
    <x v="2"/>
  </r>
  <r>
    <n v="1008"/>
    <d v="2023-01-01T00:00:00"/>
    <s v="2023"/>
    <x v="5"/>
    <s v="Sunday"/>
    <x v="3"/>
    <x v="0"/>
    <x v="64"/>
    <n v="38"/>
    <x v="2"/>
    <n v="4635.2299999999996"/>
    <n v="5075.4399999999996"/>
    <x v="0"/>
    <n v="0.05"/>
    <x v="0"/>
    <x v="0"/>
    <x v="7"/>
  </r>
  <r>
    <n v="1047"/>
    <d v="2023-03-31T00:00:00"/>
    <s v="2023"/>
    <x v="4"/>
    <s v="Friday"/>
    <x v="4"/>
    <x v="3"/>
    <x v="65"/>
    <n v="37"/>
    <x v="3"/>
    <n v="3114.88"/>
    <n v="3256.78"/>
    <x v="0"/>
    <n v="0.26"/>
    <x v="2"/>
    <x v="0"/>
    <x v="18"/>
  </r>
  <r>
    <n v="1035"/>
    <d v="2023-05-22T00:00:00"/>
    <s v="2023"/>
    <x v="10"/>
    <s v="Monday"/>
    <x v="4"/>
    <x v="2"/>
    <x v="66"/>
    <n v="45"/>
    <x v="1"/>
    <n v="4132.79"/>
    <n v="4624.1000000000004"/>
    <x v="1"/>
    <n v="0.15"/>
    <x v="2"/>
    <x v="1"/>
    <x v="9"/>
  </r>
  <r>
    <n v="1078"/>
    <d v="2023-11-16T00:00:00"/>
    <s v="2023"/>
    <x v="8"/>
    <s v="Thursday"/>
    <x v="1"/>
    <x v="3"/>
    <x v="67"/>
    <n v="8"/>
    <x v="0"/>
    <n v="3459.61"/>
    <n v="3657.23"/>
    <x v="0"/>
    <n v="0.03"/>
    <x v="1"/>
    <x v="0"/>
    <x v="16"/>
  </r>
  <r>
    <n v="1081"/>
    <d v="2023-02-07T00:00:00"/>
    <s v="2023"/>
    <x v="0"/>
    <s v="Tuesday"/>
    <x v="1"/>
    <x v="3"/>
    <x v="68"/>
    <n v="41"/>
    <x v="0"/>
    <n v="2782.08"/>
    <n v="2879.24"/>
    <x v="1"/>
    <n v="0.21"/>
    <x v="1"/>
    <x v="0"/>
    <x v="16"/>
  </r>
  <r>
    <n v="1036"/>
    <d v="2023-10-20T00:00:00"/>
    <s v="2023"/>
    <x v="7"/>
    <s v="Friday"/>
    <x v="1"/>
    <x v="0"/>
    <x v="69"/>
    <n v="49"/>
    <x v="2"/>
    <n v="1247.0999999999999"/>
    <n v="1429.4399999999901"/>
    <x v="1"/>
    <n v="0.16"/>
    <x v="0"/>
    <x v="0"/>
    <x v="11"/>
  </r>
  <r>
    <n v="1050"/>
    <d v="2023-05-19T00:00:00"/>
    <s v="2023"/>
    <x v="10"/>
    <s v="Friday"/>
    <x v="2"/>
    <x v="3"/>
    <x v="70"/>
    <n v="35"/>
    <x v="2"/>
    <n v="2158.69"/>
    <n v="2384.38"/>
    <x v="0"/>
    <n v="0.09"/>
    <x v="1"/>
    <x v="1"/>
    <x v="4"/>
  </r>
  <r>
    <n v="1004"/>
    <d v="2023-12-22T00:00:00"/>
    <s v="2023"/>
    <x v="9"/>
    <s v="Friday"/>
    <x v="3"/>
    <x v="0"/>
    <x v="71"/>
    <n v="11"/>
    <x v="2"/>
    <n v="4840.33"/>
    <n v="4884.29"/>
    <x v="1"/>
    <n v="0.13"/>
    <x v="0"/>
    <x v="0"/>
    <x v="7"/>
  </r>
  <r>
    <n v="1002"/>
    <d v="2023-11-29T00:00:00"/>
    <s v="2023"/>
    <x v="8"/>
    <s v="Wednesday"/>
    <x v="1"/>
    <x v="0"/>
    <x v="72"/>
    <n v="24"/>
    <x v="0"/>
    <n v="3305.94"/>
    <n v="3599.27"/>
    <x v="1"/>
    <n v="0.09"/>
    <x v="2"/>
    <x v="1"/>
    <x v="11"/>
  </r>
  <r>
    <n v="1006"/>
    <d v="2023-09-16T00:00:00"/>
    <s v="2023"/>
    <x v="2"/>
    <s v="Saturday"/>
    <x v="0"/>
    <x v="0"/>
    <x v="73"/>
    <n v="49"/>
    <x v="1"/>
    <n v="2843.76"/>
    <n v="3146.6"/>
    <x v="1"/>
    <n v="0.08"/>
    <x v="0"/>
    <x v="1"/>
    <x v="0"/>
  </r>
  <r>
    <n v="1054"/>
    <d v="2023-06-10T00:00:00"/>
    <s v="2023"/>
    <x v="6"/>
    <s v="Saturday"/>
    <x v="0"/>
    <x v="2"/>
    <x v="74"/>
    <n v="21"/>
    <x v="0"/>
    <n v="4668.1400000000003"/>
    <n v="5040.22"/>
    <x v="1"/>
    <n v="0.05"/>
    <x v="1"/>
    <x v="0"/>
    <x v="3"/>
  </r>
  <r>
    <n v="1004"/>
    <d v="2023-06-27T00:00:00"/>
    <s v="2023"/>
    <x v="6"/>
    <s v="Tuesday"/>
    <x v="4"/>
    <x v="1"/>
    <x v="75"/>
    <n v="2"/>
    <x v="3"/>
    <n v="2953.23"/>
    <n v="2977.52"/>
    <x v="0"/>
    <n v="0.11"/>
    <x v="2"/>
    <x v="1"/>
    <x v="17"/>
  </r>
  <r>
    <n v="1054"/>
    <d v="2023-01-10T00:00:00"/>
    <s v="2023"/>
    <x v="5"/>
    <s v="Tuesday"/>
    <x v="3"/>
    <x v="2"/>
    <x v="76"/>
    <n v="40"/>
    <x v="0"/>
    <n v="2654.11"/>
    <n v="2929.32"/>
    <x v="0"/>
    <n v="0.08"/>
    <x v="0"/>
    <x v="0"/>
    <x v="6"/>
  </r>
  <r>
    <n v="1093"/>
    <d v="2023-09-18T00:00:00"/>
    <s v="2023"/>
    <x v="2"/>
    <s v="Monday"/>
    <x v="1"/>
    <x v="1"/>
    <x v="77"/>
    <n v="19"/>
    <x v="3"/>
    <n v="3808.59"/>
    <n v="3844.51"/>
    <x v="1"/>
    <n v="0.21"/>
    <x v="2"/>
    <x v="0"/>
    <x v="13"/>
  </r>
  <r>
    <n v="1063"/>
    <d v="2023-05-18T00:00:00"/>
    <s v="2023"/>
    <x v="10"/>
    <s v="Thursday"/>
    <x v="0"/>
    <x v="1"/>
    <x v="78"/>
    <n v="39"/>
    <x v="1"/>
    <n v="3577.69"/>
    <n v="3931.25"/>
    <x v="0"/>
    <n v="0.21"/>
    <x v="0"/>
    <x v="1"/>
    <x v="1"/>
  </r>
  <r>
    <n v="1018"/>
    <d v="2023-06-21T00:00:00"/>
    <s v="2023"/>
    <x v="6"/>
    <s v="Wednesday"/>
    <x v="3"/>
    <x v="0"/>
    <x v="79"/>
    <n v="28"/>
    <x v="2"/>
    <n v="1006.14"/>
    <n v="1043.45"/>
    <x v="1"/>
    <n v="0.15"/>
    <x v="1"/>
    <x v="1"/>
    <x v="7"/>
  </r>
  <r>
    <n v="1090"/>
    <d v="2023-01-13T00:00:00"/>
    <s v="2023"/>
    <x v="5"/>
    <s v="Friday"/>
    <x v="4"/>
    <x v="3"/>
    <x v="80"/>
    <n v="17"/>
    <x v="2"/>
    <n v="2382.98"/>
    <n v="2839.73"/>
    <x v="0"/>
    <n v="0.23"/>
    <x v="1"/>
    <x v="1"/>
    <x v="18"/>
  </r>
  <r>
    <n v="1044"/>
    <d v="2023-06-17T00:00:00"/>
    <s v="2023"/>
    <x v="6"/>
    <s v="Saturday"/>
    <x v="2"/>
    <x v="0"/>
    <x v="81"/>
    <n v="6"/>
    <x v="0"/>
    <n v="2388.9499999999998"/>
    <n v="2742.97"/>
    <x v="0"/>
    <n v="0.25"/>
    <x v="2"/>
    <x v="1"/>
    <x v="19"/>
  </r>
  <r>
    <n v="1034"/>
    <d v="2023-05-10T00:00:00"/>
    <s v="2023"/>
    <x v="10"/>
    <s v="Wednesday"/>
    <x v="3"/>
    <x v="3"/>
    <x v="82"/>
    <n v="19"/>
    <x v="2"/>
    <n v="1922.21"/>
    <n v="2180.83"/>
    <x v="0"/>
    <n v="0.17"/>
    <x v="2"/>
    <x v="1"/>
    <x v="14"/>
  </r>
  <r>
    <n v="1074"/>
    <d v="2023-03-25T00:00:00"/>
    <s v="2023"/>
    <x v="4"/>
    <s v="Saturday"/>
    <x v="3"/>
    <x v="1"/>
    <x v="83"/>
    <n v="38"/>
    <x v="1"/>
    <n v="2610.6"/>
    <n v="2836.94"/>
    <x v="0"/>
    <n v="0.19"/>
    <x v="2"/>
    <x v="0"/>
    <x v="8"/>
  </r>
  <r>
    <n v="1062"/>
    <d v="2023-11-17T00:00:00"/>
    <s v="2023"/>
    <x v="8"/>
    <s v="Friday"/>
    <x v="2"/>
    <x v="0"/>
    <x v="84"/>
    <n v="28"/>
    <x v="2"/>
    <n v="2094.88"/>
    <n v="2168.91"/>
    <x v="0"/>
    <n v="0.08"/>
    <x v="0"/>
    <x v="1"/>
    <x v="19"/>
  </r>
  <r>
    <n v="1100"/>
    <d v="2023-11-15T00:00:00"/>
    <s v="2023"/>
    <x v="8"/>
    <s v="Wednesday"/>
    <x v="3"/>
    <x v="3"/>
    <x v="85"/>
    <n v="2"/>
    <x v="0"/>
    <n v="1036.76"/>
    <n v="1189.3499999999999"/>
    <x v="1"/>
    <n v="0.27"/>
    <x v="1"/>
    <x v="0"/>
    <x v="14"/>
  </r>
  <r>
    <n v="1014"/>
    <d v="2023-04-11T00:00:00"/>
    <s v="2023"/>
    <x v="1"/>
    <s v="Tuesday"/>
    <x v="4"/>
    <x v="2"/>
    <x v="86"/>
    <n v="38"/>
    <x v="1"/>
    <n v="2091.21"/>
    <n v="2527"/>
    <x v="0"/>
    <n v="0.01"/>
    <x v="2"/>
    <x v="0"/>
    <x v="9"/>
  </r>
  <r>
    <n v="1095"/>
    <d v="2023-11-25T00:00:00"/>
    <s v="2023"/>
    <x v="8"/>
    <s v="Saturday"/>
    <x v="4"/>
    <x v="3"/>
    <x v="87"/>
    <n v="37"/>
    <x v="3"/>
    <n v="407.77"/>
    <n v="860.95"/>
    <x v="1"/>
    <n v="0.1"/>
    <x v="2"/>
    <x v="1"/>
    <x v="18"/>
  </r>
  <r>
    <n v="1048"/>
    <d v="2023-09-30T00:00:00"/>
    <s v="2023"/>
    <x v="2"/>
    <s v="Saturday"/>
    <x v="2"/>
    <x v="0"/>
    <x v="88"/>
    <n v="4"/>
    <x v="0"/>
    <n v="2900.14"/>
    <n v="2910.5099999999902"/>
    <x v="1"/>
    <n v="0.22"/>
    <x v="2"/>
    <x v="1"/>
    <x v="19"/>
  </r>
  <r>
    <n v="1015"/>
    <d v="2023-09-22T00:00:00"/>
    <s v="2023"/>
    <x v="2"/>
    <s v="Friday"/>
    <x v="1"/>
    <x v="2"/>
    <x v="89"/>
    <n v="22"/>
    <x v="3"/>
    <n v="4275.59"/>
    <n v="4576.72"/>
    <x v="0"/>
    <n v="0.02"/>
    <x v="0"/>
    <x v="1"/>
    <x v="2"/>
  </r>
  <r>
    <n v="1072"/>
    <d v="2023-02-07T00:00:00"/>
    <s v="2023"/>
    <x v="0"/>
    <s v="Tuesday"/>
    <x v="0"/>
    <x v="3"/>
    <x v="90"/>
    <n v="26"/>
    <x v="1"/>
    <n v="3640.17"/>
    <n v="4002.63"/>
    <x v="1"/>
    <n v="0.05"/>
    <x v="2"/>
    <x v="1"/>
    <x v="12"/>
  </r>
  <r>
    <n v="1078"/>
    <d v="2023-04-04T00:00:00"/>
    <s v="2023"/>
    <x v="1"/>
    <s v="Tuesday"/>
    <x v="1"/>
    <x v="3"/>
    <x v="91"/>
    <n v="49"/>
    <x v="0"/>
    <n v="1833.95"/>
    <n v="2147.14"/>
    <x v="0"/>
    <n v="0.18"/>
    <x v="2"/>
    <x v="1"/>
    <x v="16"/>
  </r>
  <r>
    <n v="1087"/>
    <d v="2023-04-05T00:00:00"/>
    <s v="2023"/>
    <x v="1"/>
    <s v="Wednesday"/>
    <x v="3"/>
    <x v="3"/>
    <x v="92"/>
    <n v="43"/>
    <x v="0"/>
    <n v="481"/>
    <n v="531.02"/>
    <x v="1"/>
    <n v="0.17"/>
    <x v="0"/>
    <x v="0"/>
    <x v="14"/>
  </r>
  <r>
    <n v="1062"/>
    <d v="2023-11-01T00:00:00"/>
    <s v="2023"/>
    <x v="8"/>
    <s v="Wednesday"/>
    <x v="0"/>
    <x v="3"/>
    <x v="93"/>
    <n v="36"/>
    <x v="1"/>
    <n v="1050.6400000000001"/>
    <n v="1167.33"/>
    <x v="1"/>
    <n v="0.22"/>
    <x v="0"/>
    <x v="0"/>
    <x v="12"/>
  </r>
  <r>
    <n v="1040"/>
    <d v="2023-03-10T00:00:00"/>
    <s v="2023"/>
    <x v="4"/>
    <s v="Friday"/>
    <x v="2"/>
    <x v="3"/>
    <x v="94"/>
    <n v="13"/>
    <x v="2"/>
    <n v="2750.18"/>
    <n v="2882.85"/>
    <x v="0"/>
    <n v="0.24"/>
    <x v="2"/>
    <x v="0"/>
    <x v="4"/>
  </r>
  <r>
    <n v="1085"/>
    <d v="2023-11-14T00:00:00"/>
    <s v="2023"/>
    <x v="8"/>
    <s v="Tuesday"/>
    <x v="2"/>
    <x v="2"/>
    <x v="95"/>
    <n v="32"/>
    <x v="0"/>
    <n v="1074.93"/>
    <n v="1492.48"/>
    <x v="0"/>
    <n v="0.04"/>
    <x v="2"/>
    <x v="1"/>
    <x v="10"/>
  </r>
  <r>
    <n v="1080"/>
    <d v="2023-08-24T00:00:00"/>
    <s v="2023"/>
    <x v="3"/>
    <s v="Thursday"/>
    <x v="0"/>
    <x v="1"/>
    <x v="96"/>
    <n v="17"/>
    <x v="0"/>
    <n v="2742.67"/>
    <n v="2979.64"/>
    <x v="0"/>
    <n v="0.01"/>
    <x v="0"/>
    <x v="1"/>
    <x v="1"/>
  </r>
  <r>
    <n v="1082"/>
    <d v="2023-11-30T00:00:00"/>
    <s v="2023"/>
    <x v="8"/>
    <s v="Thursday"/>
    <x v="4"/>
    <x v="2"/>
    <x v="97"/>
    <n v="41"/>
    <x v="3"/>
    <n v="1196.42"/>
    <n v="1444.97"/>
    <x v="0"/>
    <n v="0.21"/>
    <x v="1"/>
    <x v="0"/>
    <x v="9"/>
  </r>
  <r>
    <n v="1053"/>
    <d v="2023-05-17T00:00:00"/>
    <s v="2023"/>
    <x v="10"/>
    <s v="Wednesday"/>
    <x v="0"/>
    <x v="2"/>
    <x v="98"/>
    <n v="36"/>
    <x v="2"/>
    <n v="4252.17"/>
    <n v="4720.2700000000004"/>
    <x v="1"/>
    <n v="0.09"/>
    <x v="0"/>
    <x v="1"/>
    <x v="3"/>
  </r>
  <r>
    <n v="1024"/>
    <d v="2023-03-17T00:00:00"/>
    <s v="2023"/>
    <x v="4"/>
    <s v="Friday"/>
    <x v="3"/>
    <x v="2"/>
    <x v="99"/>
    <n v="46"/>
    <x v="3"/>
    <n v="2016.49"/>
    <n v="2338.66"/>
    <x v="0"/>
    <n v="0.19"/>
    <x v="1"/>
    <x v="1"/>
    <x v="6"/>
  </r>
  <r>
    <n v="1026"/>
    <d v="2023-02-04T00:00:00"/>
    <s v="2023"/>
    <x v="0"/>
    <s v="Saturday"/>
    <x v="4"/>
    <x v="1"/>
    <x v="100"/>
    <n v="19"/>
    <x v="3"/>
    <n v="1265.48"/>
    <n v="1715.83"/>
    <x v="1"/>
    <n v="0.05"/>
    <x v="2"/>
    <x v="1"/>
    <x v="17"/>
  </r>
  <r>
    <n v="1089"/>
    <d v="2023-01-01T00:00:00"/>
    <s v="2023"/>
    <x v="5"/>
    <s v="Sunday"/>
    <x v="2"/>
    <x v="0"/>
    <x v="101"/>
    <n v="35"/>
    <x v="2"/>
    <n v="4071.01"/>
    <n v="4304.7"/>
    <x v="1"/>
    <n v="0.14000000000000001"/>
    <x v="2"/>
    <x v="0"/>
    <x v="19"/>
  </r>
  <r>
    <n v="1060"/>
    <d v="2023-10-23T00:00:00"/>
    <s v="2023"/>
    <x v="7"/>
    <s v="Monday"/>
    <x v="0"/>
    <x v="1"/>
    <x v="102"/>
    <n v="46"/>
    <x v="2"/>
    <n v="1747.05"/>
    <n v="1830.27"/>
    <x v="1"/>
    <n v="0.15"/>
    <x v="1"/>
    <x v="1"/>
    <x v="1"/>
  </r>
  <r>
    <n v="1041"/>
    <d v="2023-11-16T00:00:00"/>
    <s v="2023"/>
    <x v="8"/>
    <s v="Thursday"/>
    <x v="1"/>
    <x v="2"/>
    <x v="103"/>
    <n v="40"/>
    <x v="1"/>
    <n v="601.86"/>
    <n v="1067.53"/>
    <x v="1"/>
    <n v="0.18"/>
    <x v="0"/>
    <x v="0"/>
    <x v="2"/>
  </r>
  <r>
    <n v="1029"/>
    <d v="2023-03-01T00:00:00"/>
    <s v="2023"/>
    <x v="4"/>
    <s v="Wednesday"/>
    <x v="1"/>
    <x v="3"/>
    <x v="104"/>
    <n v="28"/>
    <x v="2"/>
    <n v="2873.53"/>
    <n v="3108.3"/>
    <x v="1"/>
    <n v="0.15"/>
    <x v="2"/>
    <x v="1"/>
    <x v="16"/>
  </r>
  <r>
    <n v="1015"/>
    <d v="2023-11-16T00:00:00"/>
    <s v="2023"/>
    <x v="8"/>
    <s v="Thursday"/>
    <x v="3"/>
    <x v="3"/>
    <x v="105"/>
    <n v="1"/>
    <x v="0"/>
    <n v="2928.74"/>
    <n v="3027.74"/>
    <x v="1"/>
    <n v="0.15"/>
    <x v="1"/>
    <x v="1"/>
    <x v="14"/>
  </r>
  <r>
    <n v="1045"/>
    <d v="2023-12-15T00:00:00"/>
    <s v="2023"/>
    <x v="9"/>
    <s v="Friday"/>
    <x v="1"/>
    <x v="2"/>
    <x v="106"/>
    <n v="42"/>
    <x v="2"/>
    <n v="3587.74"/>
    <n v="3745.91"/>
    <x v="0"/>
    <n v="0.1"/>
    <x v="0"/>
    <x v="0"/>
    <x v="2"/>
  </r>
  <r>
    <n v="1065"/>
    <d v="2023-11-24T00:00:00"/>
    <s v="2023"/>
    <x v="8"/>
    <s v="Friday"/>
    <x v="0"/>
    <x v="3"/>
    <x v="107"/>
    <n v="18"/>
    <x v="1"/>
    <n v="1239.0899999999999"/>
    <n v="1273.98"/>
    <x v="1"/>
    <n v="0.02"/>
    <x v="1"/>
    <x v="1"/>
    <x v="12"/>
  </r>
  <r>
    <n v="1089"/>
    <d v="2023-09-24T00:00:00"/>
    <s v="2023"/>
    <x v="2"/>
    <s v="Sunday"/>
    <x v="0"/>
    <x v="2"/>
    <x v="108"/>
    <n v="48"/>
    <x v="1"/>
    <n v="2246.67"/>
    <n v="2486.14"/>
    <x v="1"/>
    <n v="0.03"/>
    <x v="0"/>
    <x v="1"/>
    <x v="3"/>
  </r>
  <r>
    <n v="1071"/>
    <d v="2023-12-27T00:00:00"/>
    <s v="2023"/>
    <x v="9"/>
    <s v="Wednesday"/>
    <x v="1"/>
    <x v="3"/>
    <x v="109"/>
    <n v="40"/>
    <x v="1"/>
    <n v="1447.72"/>
    <n v="1875.75"/>
    <x v="1"/>
    <n v="0.13"/>
    <x v="0"/>
    <x v="1"/>
    <x v="16"/>
  </r>
  <r>
    <n v="1009"/>
    <d v="2023-08-17T00:00:00"/>
    <s v="2023"/>
    <x v="3"/>
    <s v="Thursday"/>
    <x v="0"/>
    <x v="1"/>
    <x v="110"/>
    <n v="33"/>
    <x v="2"/>
    <n v="450.72"/>
    <n v="918.17"/>
    <x v="0"/>
    <n v="0.11"/>
    <x v="0"/>
    <x v="0"/>
    <x v="1"/>
  </r>
  <r>
    <n v="1088"/>
    <d v="2023-09-27T00:00:00"/>
    <s v="2023"/>
    <x v="2"/>
    <s v="Wednesday"/>
    <x v="3"/>
    <x v="0"/>
    <x v="111"/>
    <n v="12"/>
    <x v="2"/>
    <n v="4389.24"/>
    <n v="4856.2199999999903"/>
    <x v="0"/>
    <n v="0.15"/>
    <x v="0"/>
    <x v="1"/>
    <x v="7"/>
  </r>
  <r>
    <n v="1001"/>
    <d v="2023-11-12T00:00:00"/>
    <s v="2023"/>
    <x v="8"/>
    <s v="Sunday"/>
    <x v="4"/>
    <x v="0"/>
    <x v="112"/>
    <n v="8"/>
    <x v="3"/>
    <n v="3657.91"/>
    <n v="3729.27"/>
    <x v="1"/>
    <n v="0.09"/>
    <x v="1"/>
    <x v="1"/>
    <x v="15"/>
  </r>
  <r>
    <n v="1008"/>
    <d v="2023-10-13T00:00:00"/>
    <s v="2023"/>
    <x v="7"/>
    <s v="Friday"/>
    <x v="3"/>
    <x v="1"/>
    <x v="113"/>
    <n v="24"/>
    <x v="3"/>
    <n v="1542.24"/>
    <n v="1739.45"/>
    <x v="0"/>
    <n v="0.21"/>
    <x v="1"/>
    <x v="1"/>
    <x v="8"/>
  </r>
  <r>
    <n v="1088"/>
    <d v="2023-10-18T00:00:00"/>
    <s v="2023"/>
    <x v="7"/>
    <s v="Wednesday"/>
    <x v="3"/>
    <x v="1"/>
    <x v="114"/>
    <n v="16"/>
    <x v="0"/>
    <n v="3016.9"/>
    <n v="3040.73"/>
    <x v="1"/>
    <n v="0.26"/>
    <x v="1"/>
    <x v="1"/>
    <x v="8"/>
  </r>
  <r>
    <n v="1063"/>
    <d v="2023-08-01T00:00:00"/>
    <s v="2023"/>
    <x v="3"/>
    <s v="Tuesday"/>
    <x v="0"/>
    <x v="2"/>
    <x v="115"/>
    <n v="4"/>
    <x v="3"/>
    <n v="1046.26"/>
    <n v="1475.29"/>
    <x v="0"/>
    <n v="0.09"/>
    <x v="1"/>
    <x v="1"/>
    <x v="3"/>
  </r>
  <r>
    <n v="1011"/>
    <d v="2023-06-14T00:00:00"/>
    <s v="2023"/>
    <x v="6"/>
    <s v="Wednesday"/>
    <x v="4"/>
    <x v="2"/>
    <x v="116"/>
    <n v="38"/>
    <x v="0"/>
    <n v="4456.67"/>
    <n v="4642.46"/>
    <x v="1"/>
    <n v="0.06"/>
    <x v="1"/>
    <x v="0"/>
    <x v="9"/>
  </r>
  <r>
    <n v="1081"/>
    <d v="2023-01-05T00:00:00"/>
    <s v="2023"/>
    <x v="5"/>
    <s v="Thursday"/>
    <x v="0"/>
    <x v="2"/>
    <x v="117"/>
    <n v="44"/>
    <x v="1"/>
    <n v="618.79"/>
    <n v="938.04"/>
    <x v="0"/>
    <n v="0.03"/>
    <x v="0"/>
    <x v="0"/>
    <x v="3"/>
  </r>
  <r>
    <n v="1008"/>
    <d v="2023-12-05T00:00:00"/>
    <s v="2023"/>
    <x v="9"/>
    <s v="Tuesday"/>
    <x v="2"/>
    <x v="3"/>
    <x v="118"/>
    <n v="27"/>
    <x v="3"/>
    <n v="68.989999999999995"/>
    <n v="429.29"/>
    <x v="0"/>
    <n v="0.18"/>
    <x v="2"/>
    <x v="1"/>
    <x v="4"/>
  </r>
  <r>
    <n v="1035"/>
    <d v="2023-03-19T00:00:00"/>
    <s v="2023"/>
    <x v="4"/>
    <s v="Sunday"/>
    <x v="0"/>
    <x v="2"/>
    <x v="119"/>
    <n v="9"/>
    <x v="2"/>
    <n v="2534.94"/>
    <n v="2755.56"/>
    <x v="0"/>
    <n v="0.13"/>
    <x v="2"/>
    <x v="1"/>
    <x v="3"/>
  </r>
  <r>
    <n v="1035"/>
    <d v="2023-03-03T00:00:00"/>
    <s v="2023"/>
    <x v="4"/>
    <s v="Friday"/>
    <x v="0"/>
    <x v="1"/>
    <x v="120"/>
    <n v="47"/>
    <x v="3"/>
    <n v="2936.48"/>
    <n v="3096.64"/>
    <x v="1"/>
    <n v="0.06"/>
    <x v="1"/>
    <x v="0"/>
    <x v="1"/>
  </r>
  <r>
    <n v="1033"/>
    <d v="2023-05-12T00:00:00"/>
    <s v="2023"/>
    <x v="10"/>
    <s v="Friday"/>
    <x v="0"/>
    <x v="0"/>
    <x v="121"/>
    <n v="16"/>
    <x v="0"/>
    <n v="2915.88"/>
    <n v="3397.36"/>
    <x v="1"/>
    <n v="0.2"/>
    <x v="1"/>
    <x v="1"/>
    <x v="0"/>
  </r>
  <r>
    <n v="1005"/>
    <d v="2023-03-30T00:00:00"/>
    <s v="2023"/>
    <x v="4"/>
    <s v="Thursday"/>
    <x v="4"/>
    <x v="3"/>
    <x v="122"/>
    <n v="12"/>
    <x v="3"/>
    <n v="319.83"/>
    <n v="802.43"/>
    <x v="1"/>
    <n v="0.04"/>
    <x v="2"/>
    <x v="1"/>
    <x v="18"/>
  </r>
  <r>
    <n v="1041"/>
    <d v="2023-08-25T00:00:00"/>
    <s v="2023"/>
    <x v="3"/>
    <s v="Friday"/>
    <x v="0"/>
    <x v="2"/>
    <x v="123"/>
    <n v="31"/>
    <x v="1"/>
    <n v="1604.52"/>
    <n v="1756.34"/>
    <x v="0"/>
    <n v="0.17"/>
    <x v="0"/>
    <x v="1"/>
    <x v="3"/>
  </r>
  <r>
    <n v="1028"/>
    <d v="2023-02-11T00:00:00"/>
    <s v="2023"/>
    <x v="0"/>
    <s v="Saturday"/>
    <x v="4"/>
    <x v="3"/>
    <x v="124"/>
    <n v="24"/>
    <x v="2"/>
    <n v="2521.0300000000002"/>
    <n v="2766.05"/>
    <x v="0"/>
    <n v="0.16"/>
    <x v="1"/>
    <x v="1"/>
    <x v="18"/>
  </r>
  <r>
    <n v="1007"/>
    <d v="2023-03-30T00:00:00"/>
    <s v="2023"/>
    <x v="4"/>
    <s v="Thursday"/>
    <x v="1"/>
    <x v="3"/>
    <x v="125"/>
    <n v="14"/>
    <x v="0"/>
    <n v="1122.07"/>
    <n v="1608.76"/>
    <x v="1"/>
    <n v="0.22"/>
    <x v="0"/>
    <x v="1"/>
    <x v="16"/>
  </r>
  <r>
    <n v="1073"/>
    <d v="2023-10-23T00:00:00"/>
    <s v="2023"/>
    <x v="7"/>
    <s v="Monday"/>
    <x v="2"/>
    <x v="2"/>
    <x v="126"/>
    <n v="45"/>
    <x v="2"/>
    <n v="4369.5"/>
    <n v="4381.8900000000003"/>
    <x v="0"/>
    <n v="0.02"/>
    <x v="2"/>
    <x v="1"/>
    <x v="10"/>
  </r>
  <r>
    <n v="1072"/>
    <d v="2023-11-24T00:00:00"/>
    <s v="2023"/>
    <x v="8"/>
    <s v="Friday"/>
    <x v="4"/>
    <x v="3"/>
    <x v="127"/>
    <n v="25"/>
    <x v="2"/>
    <n v="481.19"/>
    <n v="693.4"/>
    <x v="1"/>
    <n v="0.27"/>
    <x v="2"/>
    <x v="1"/>
    <x v="18"/>
  </r>
  <r>
    <n v="1012"/>
    <d v="2023-10-22T00:00:00"/>
    <s v="2023"/>
    <x v="7"/>
    <s v="Sunday"/>
    <x v="1"/>
    <x v="0"/>
    <x v="128"/>
    <n v="34"/>
    <x v="0"/>
    <n v="2462.5500000000002"/>
    <n v="2521.77"/>
    <x v="1"/>
    <n v="0.21"/>
    <x v="1"/>
    <x v="1"/>
    <x v="11"/>
  </r>
  <r>
    <n v="1034"/>
    <d v="2023-04-14T00:00:00"/>
    <s v="2023"/>
    <x v="1"/>
    <s v="Friday"/>
    <x v="4"/>
    <x v="1"/>
    <x v="129"/>
    <n v="3"/>
    <x v="2"/>
    <n v="3472.51"/>
    <n v="3732"/>
    <x v="1"/>
    <n v="0.06"/>
    <x v="0"/>
    <x v="0"/>
    <x v="17"/>
  </r>
  <r>
    <n v="1033"/>
    <d v="2023-01-14T00:00:00"/>
    <s v="2023"/>
    <x v="5"/>
    <s v="Saturday"/>
    <x v="4"/>
    <x v="1"/>
    <x v="130"/>
    <n v="24"/>
    <x v="2"/>
    <n v="1345.67"/>
    <n v="1367.76"/>
    <x v="1"/>
    <n v="0.06"/>
    <x v="1"/>
    <x v="0"/>
    <x v="17"/>
  </r>
  <r>
    <n v="1048"/>
    <d v="2023-10-15T00:00:00"/>
    <s v="2023"/>
    <x v="7"/>
    <s v="Sunday"/>
    <x v="2"/>
    <x v="0"/>
    <x v="131"/>
    <n v="42"/>
    <x v="3"/>
    <n v="3139.99"/>
    <n v="3349.37"/>
    <x v="0"/>
    <n v="0.13"/>
    <x v="2"/>
    <x v="1"/>
    <x v="19"/>
  </r>
  <r>
    <n v="1023"/>
    <d v="2023-06-28T00:00:00"/>
    <s v="2023"/>
    <x v="6"/>
    <s v="Wednesday"/>
    <x v="3"/>
    <x v="3"/>
    <x v="132"/>
    <n v="9"/>
    <x v="2"/>
    <n v="4155.46"/>
    <n v="4273.6000000000004"/>
    <x v="0"/>
    <n v="0.25"/>
    <x v="0"/>
    <x v="1"/>
    <x v="14"/>
  </r>
  <r>
    <n v="1062"/>
    <d v="2023-05-05T00:00:00"/>
    <s v="2023"/>
    <x v="10"/>
    <s v="Friday"/>
    <x v="3"/>
    <x v="2"/>
    <x v="133"/>
    <n v="26"/>
    <x v="2"/>
    <n v="992.17"/>
    <n v="1263.49"/>
    <x v="0"/>
    <n v="0.25"/>
    <x v="1"/>
    <x v="1"/>
    <x v="6"/>
  </r>
  <r>
    <n v="1088"/>
    <d v="2023-12-19T00:00:00"/>
    <s v="2023"/>
    <x v="9"/>
    <s v="Tuesday"/>
    <x v="4"/>
    <x v="3"/>
    <x v="134"/>
    <n v="20"/>
    <x v="2"/>
    <n v="4590.24"/>
    <n v="5088.28"/>
    <x v="1"/>
    <n v="0.16"/>
    <x v="1"/>
    <x v="1"/>
    <x v="18"/>
  </r>
  <r>
    <n v="1037"/>
    <d v="2023-01-23T00:00:00"/>
    <s v="2023"/>
    <x v="5"/>
    <s v="Monday"/>
    <x v="0"/>
    <x v="0"/>
    <x v="135"/>
    <n v="40"/>
    <x v="2"/>
    <n v="2790.11"/>
    <n v="3192.37"/>
    <x v="0"/>
    <n v="0.26"/>
    <x v="1"/>
    <x v="0"/>
    <x v="0"/>
  </r>
  <r>
    <n v="1099"/>
    <d v="2023-03-04T00:00:00"/>
    <s v="2023"/>
    <x v="4"/>
    <s v="Saturday"/>
    <x v="1"/>
    <x v="3"/>
    <x v="136"/>
    <n v="10"/>
    <x v="0"/>
    <n v="1531.2"/>
    <n v="1955.56"/>
    <x v="1"/>
    <n v="0"/>
    <x v="2"/>
    <x v="0"/>
    <x v="16"/>
  </r>
  <r>
    <n v="1044"/>
    <d v="2023-05-23T00:00:00"/>
    <s v="2023"/>
    <x v="10"/>
    <s v="Tuesday"/>
    <x v="0"/>
    <x v="1"/>
    <x v="137"/>
    <n v="19"/>
    <x v="1"/>
    <n v="2182.75"/>
    <n v="2504.0299999999902"/>
    <x v="1"/>
    <n v="0.01"/>
    <x v="1"/>
    <x v="0"/>
    <x v="1"/>
  </r>
  <r>
    <n v="1086"/>
    <d v="2023-06-02T00:00:00"/>
    <s v="2023"/>
    <x v="6"/>
    <s v="Friday"/>
    <x v="0"/>
    <x v="3"/>
    <x v="138"/>
    <n v="3"/>
    <x v="3"/>
    <n v="1595.35"/>
    <n v="1625.70999999999"/>
    <x v="1"/>
    <n v="0.27"/>
    <x v="0"/>
    <x v="0"/>
    <x v="12"/>
  </r>
  <r>
    <n v="1091"/>
    <d v="2023-05-25T00:00:00"/>
    <s v="2023"/>
    <x v="10"/>
    <s v="Thursday"/>
    <x v="4"/>
    <x v="0"/>
    <x v="139"/>
    <n v="24"/>
    <x v="2"/>
    <n v="3639.3"/>
    <n v="3750.63"/>
    <x v="1"/>
    <n v="0.23"/>
    <x v="1"/>
    <x v="1"/>
    <x v="15"/>
  </r>
  <r>
    <n v="1035"/>
    <d v="2023-08-13T00:00:00"/>
    <s v="2023"/>
    <x v="3"/>
    <s v="Sunday"/>
    <x v="4"/>
    <x v="1"/>
    <x v="140"/>
    <n v="5"/>
    <x v="2"/>
    <n v="3991.69"/>
    <n v="4454.97"/>
    <x v="1"/>
    <n v="0.14000000000000001"/>
    <x v="2"/>
    <x v="1"/>
    <x v="17"/>
  </r>
  <r>
    <n v="1065"/>
    <d v="2023-11-05T00:00:00"/>
    <s v="2023"/>
    <x v="8"/>
    <s v="Sunday"/>
    <x v="4"/>
    <x v="3"/>
    <x v="141"/>
    <n v="3"/>
    <x v="0"/>
    <n v="4173.04"/>
    <n v="4362.4399999999996"/>
    <x v="1"/>
    <n v="0.23"/>
    <x v="1"/>
    <x v="1"/>
    <x v="18"/>
  </r>
  <r>
    <n v="1099"/>
    <d v="2023-04-14T00:00:00"/>
    <s v="2023"/>
    <x v="1"/>
    <s v="Friday"/>
    <x v="4"/>
    <x v="3"/>
    <x v="142"/>
    <n v="27"/>
    <x v="1"/>
    <n v="4929.55"/>
    <n v="4990.33"/>
    <x v="0"/>
    <n v="0.28999999999999998"/>
    <x v="2"/>
    <x v="0"/>
    <x v="18"/>
  </r>
  <r>
    <n v="1047"/>
    <d v="2023-04-14T00:00:00"/>
    <s v="2023"/>
    <x v="1"/>
    <s v="Friday"/>
    <x v="3"/>
    <x v="1"/>
    <x v="143"/>
    <n v="16"/>
    <x v="2"/>
    <n v="3966.86"/>
    <n v="4321.04"/>
    <x v="0"/>
    <n v="0.23"/>
    <x v="2"/>
    <x v="1"/>
    <x v="8"/>
  </r>
  <r>
    <n v="1078"/>
    <d v="2023-02-08T00:00:00"/>
    <s v="2023"/>
    <x v="0"/>
    <s v="Wednesday"/>
    <x v="4"/>
    <x v="2"/>
    <x v="144"/>
    <n v="49"/>
    <x v="0"/>
    <n v="3026.85"/>
    <n v="3183.58"/>
    <x v="0"/>
    <n v="0.25"/>
    <x v="0"/>
    <x v="1"/>
    <x v="9"/>
  </r>
  <r>
    <n v="1003"/>
    <d v="2023-07-17T00:00:00"/>
    <s v="2023"/>
    <x v="11"/>
    <s v="Monday"/>
    <x v="3"/>
    <x v="1"/>
    <x v="145"/>
    <n v="15"/>
    <x v="3"/>
    <n v="1729.14"/>
    <n v="1870.88"/>
    <x v="0"/>
    <n v="0.23"/>
    <x v="0"/>
    <x v="0"/>
    <x v="8"/>
  </r>
  <r>
    <n v="1001"/>
    <d v="2023-05-14T00:00:00"/>
    <s v="2023"/>
    <x v="10"/>
    <s v="Sunday"/>
    <x v="3"/>
    <x v="2"/>
    <x v="146"/>
    <n v="35"/>
    <x v="3"/>
    <n v="2745.75"/>
    <n v="3244.76"/>
    <x v="1"/>
    <n v="0.05"/>
    <x v="1"/>
    <x v="0"/>
    <x v="6"/>
  </r>
  <r>
    <n v="1005"/>
    <d v="2023-03-08T00:00:00"/>
    <s v="2023"/>
    <x v="4"/>
    <s v="Wednesday"/>
    <x v="4"/>
    <x v="0"/>
    <x v="147"/>
    <n v="12"/>
    <x v="2"/>
    <n v="253.29"/>
    <n v="683.78"/>
    <x v="1"/>
    <n v="0.25"/>
    <x v="2"/>
    <x v="0"/>
    <x v="15"/>
  </r>
  <r>
    <n v="1090"/>
    <d v="2023-06-28T00:00:00"/>
    <s v="2023"/>
    <x v="6"/>
    <s v="Wednesday"/>
    <x v="2"/>
    <x v="0"/>
    <x v="148"/>
    <n v="41"/>
    <x v="2"/>
    <n v="3736.88"/>
    <n v="3946.77"/>
    <x v="0"/>
    <n v="0.06"/>
    <x v="2"/>
    <x v="0"/>
    <x v="19"/>
  </r>
  <r>
    <n v="1014"/>
    <d v="2023-02-11T00:00:00"/>
    <s v="2023"/>
    <x v="0"/>
    <s v="Saturday"/>
    <x v="1"/>
    <x v="1"/>
    <x v="149"/>
    <n v="44"/>
    <x v="1"/>
    <n v="2257.48"/>
    <n v="2747.81"/>
    <x v="0"/>
    <n v="0.27"/>
    <x v="0"/>
    <x v="0"/>
    <x v="13"/>
  </r>
  <r>
    <n v="1027"/>
    <d v="2023-01-15T00:00:00"/>
    <s v="2023"/>
    <x v="5"/>
    <s v="Sunday"/>
    <x v="0"/>
    <x v="1"/>
    <x v="150"/>
    <n v="26"/>
    <x v="1"/>
    <n v="149.11000000000001"/>
    <n v="477.67"/>
    <x v="0"/>
    <n v="0.14000000000000001"/>
    <x v="0"/>
    <x v="1"/>
    <x v="1"/>
  </r>
  <r>
    <n v="1009"/>
    <d v="2023-04-21T00:00:00"/>
    <s v="2023"/>
    <x v="1"/>
    <s v="Friday"/>
    <x v="3"/>
    <x v="0"/>
    <x v="151"/>
    <n v="47"/>
    <x v="2"/>
    <n v="359.41"/>
    <n v="733"/>
    <x v="0"/>
    <n v="0.2"/>
    <x v="1"/>
    <x v="1"/>
    <x v="7"/>
  </r>
  <r>
    <n v="1079"/>
    <d v="2023-06-06T00:00:00"/>
    <s v="2023"/>
    <x v="6"/>
    <s v="Tuesday"/>
    <x v="1"/>
    <x v="2"/>
    <x v="152"/>
    <n v="34"/>
    <x v="0"/>
    <n v="1967.96"/>
    <n v="1993.4"/>
    <x v="0"/>
    <n v="0.15"/>
    <x v="2"/>
    <x v="0"/>
    <x v="2"/>
  </r>
  <r>
    <n v="1015"/>
    <d v="2023-10-16T00:00:00"/>
    <s v="2023"/>
    <x v="7"/>
    <s v="Monday"/>
    <x v="2"/>
    <x v="0"/>
    <x v="153"/>
    <n v="23"/>
    <x v="1"/>
    <n v="2937.94"/>
    <n v="3007.53"/>
    <x v="0"/>
    <n v="0.03"/>
    <x v="0"/>
    <x v="1"/>
    <x v="19"/>
  </r>
  <r>
    <n v="1090"/>
    <d v="2023-08-19T00:00:00"/>
    <s v="2023"/>
    <x v="3"/>
    <s v="Saturday"/>
    <x v="0"/>
    <x v="1"/>
    <x v="154"/>
    <n v="31"/>
    <x v="2"/>
    <n v="2347.81"/>
    <n v="2668.02"/>
    <x v="0"/>
    <n v="0.09"/>
    <x v="1"/>
    <x v="1"/>
    <x v="1"/>
  </r>
  <r>
    <n v="1042"/>
    <d v="2023-06-06T00:00:00"/>
    <s v="2023"/>
    <x v="6"/>
    <s v="Tuesday"/>
    <x v="0"/>
    <x v="0"/>
    <x v="155"/>
    <n v="20"/>
    <x v="1"/>
    <n v="3115.06"/>
    <n v="3565.58"/>
    <x v="0"/>
    <n v="0.3"/>
    <x v="2"/>
    <x v="1"/>
    <x v="0"/>
  </r>
  <r>
    <n v="1077"/>
    <d v="2023-02-07T00:00:00"/>
    <s v="2023"/>
    <x v="0"/>
    <s v="Tuesday"/>
    <x v="3"/>
    <x v="1"/>
    <x v="156"/>
    <n v="12"/>
    <x v="2"/>
    <n v="2427.46"/>
    <n v="2743.09"/>
    <x v="1"/>
    <n v="0.28999999999999998"/>
    <x v="2"/>
    <x v="1"/>
    <x v="8"/>
  </r>
  <r>
    <n v="1051"/>
    <d v="2023-04-07T00:00:00"/>
    <s v="2023"/>
    <x v="1"/>
    <s v="Friday"/>
    <x v="4"/>
    <x v="1"/>
    <x v="157"/>
    <n v="23"/>
    <x v="3"/>
    <n v="3325.43"/>
    <n v="3401.1"/>
    <x v="1"/>
    <n v="0.1"/>
    <x v="0"/>
    <x v="0"/>
    <x v="17"/>
  </r>
  <r>
    <n v="1063"/>
    <d v="2023-10-16T00:00:00"/>
    <s v="2023"/>
    <x v="7"/>
    <s v="Monday"/>
    <x v="2"/>
    <x v="0"/>
    <x v="158"/>
    <n v="4"/>
    <x v="2"/>
    <n v="1134.67"/>
    <n v="1201.3900000000001"/>
    <x v="1"/>
    <n v="0.3"/>
    <x v="1"/>
    <x v="1"/>
    <x v="19"/>
  </r>
  <r>
    <n v="1096"/>
    <d v="2023-09-11T00:00:00"/>
    <s v="2023"/>
    <x v="2"/>
    <s v="Monday"/>
    <x v="3"/>
    <x v="2"/>
    <x v="159"/>
    <n v="23"/>
    <x v="3"/>
    <n v="608.57000000000005"/>
    <n v="1032.22"/>
    <x v="1"/>
    <n v="0.25"/>
    <x v="0"/>
    <x v="1"/>
    <x v="6"/>
  </r>
  <r>
    <n v="1052"/>
    <d v="2023-07-15T00:00:00"/>
    <s v="2023"/>
    <x v="11"/>
    <s v="Saturday"/>
    <x v="2"/>
    <x v="3"/>
    <x v="160"/>
    <n v="48"/>
    <x v="1"/>
    <n v="3002.35"/>
    <n v="3080.61"/>
    <x v="0"/>
    <n v="0.18"/>
    <x v="1"/>
    <x v="1"/>
    <x v="4"/>
  </r>
  <r>
    <n v="1096"/>
    <d v="2023-03-27T00:00:00"/>
    <s v="2023"/>
    <x v="4"/>
    <s v="Monday"/>
    <x v="4"/>
    <x v="0"/>
    <x v="161"/>
    <n v="48"/>
    <x v="2"/>
    <n v="2449.21"/>
    <n v="2714.12"/>
    <x v="1"/>
    <n v="0.01"/>
    <x v="2"/>
    <x v="0"/>
    <x v="15"/>
  </r>
  <r>
    <n v="1004"/>
    <d v="2023-11-18T00:00:00"/>
    <s v="2023"/>
    <x v="8"/>
    <s v="Saturday"/>
    <x v="4"/>
    <x v="3"/>
    <x v="162"/>
    <n v="1"/>
    <x v="1"/>
    <n v="182.99"/>
    <n v="211.18"/>
    <x v="0"/>
    <n v="0.27"/>
    <x v="1"/>
    <x v="1"/>
    <x v="18"/>
  </r>
  <r>
    <n v="1094"/>
    <d v="2023-01-10T00:00:00"/>
    <s v="2023"/>
    <x v="5"/>
    <s v="Tuesday"/>
    <x v="3"/>
    <x v="0"/>
    <x v="163"/>
    <n v="25"/>
    <x v="3"/>
    <n v="1933.39"/>
    <n v="1982.92"/>
    <x v="1"/>
    <n v="0.17"/>
    <x v="1"/>
    <x v="0"/>
    <x v="7"/>
  </r>
  <r>
    <n v="1023"/>
    <d v="2023-01-05T00:00:00"/>
    <s v="2023"/>
    <x v="5"/>
    <s v="Thursday"/>
    <x v="4"/>
    <x v="3"/>
    <x v="164"/>
    <n v="2"/>
    <x v="2"/>
    <n v="575.32000000000005"/>
    <n v="914.77"/>
    <x v="0"/>
    <n v="0.26"/>
    <x v="1"/>
    <x v="0"/>
    <x v="18"/>
  </r>
  <r>
    <n v="1015"/>
    <d v="2023-05-03T00:00:00"/>
    <s v="2023"/>
    <x v="10"/>
    <s v="Wednesday"/>
    <x v="1"/>
    <x v="2"/>
    <x v="165"/>
    <n v="30"/>
    <x v="1"/>
    <n v="2680.22"/>
    <n v="3027.9199999999901"/>
    <x v="0"/>
    <n v="0.25"/>
    <x v="1"/>
    <x v="0"/>
    <x v="2"/>
  </r>
  <r>
    <n v="1043"/>
    <d v="2023-11-26T00:00:00"/>
    <s v="2023"/>
    <x v="8"/>
    <s v="Sunday"/>
    <x v="0"/>
    <x v="2"/>
    <x v="166"/>
    <n v="3"/>
    <x v="3"/>
    <n v="2009.1"/>
    <n v="2186.42"/>
    <x v="1"/>
    <n v="0.25"/>
    <x v="1"/>
    <x v="0"/>
    <x v="3"/>
  </r>
  <r>
    <n v="1029"/>
    <d v="2023-12-19T00:00:00"/>
    <s v="2023"/>
    <x v="9"/>
    <s v="Tuesday"/>
    <x v="3"/>
    <x v="0"/>
    <x v="167"/>
    <n v="21"/>
    <x v="1"/>
    <n v="3085.1"/>
    <n v="3200.75"/>
    <x v="1"/>
    <n v="0.21"/>
    <x v="0"/>
    <x v="1"/>
    <x v="7"/>
  </r>
  <r>
    <n v="1036"/>
    <d v="2023-04-28T00:00:00"/>
    <s v="2023"/>
    <x v="1"/>
    <s v="Friday"/>
    <x v="2"/>
    <x v="1"/>
    <x v="168"/>
    <n v="25"/>
    <x v="0"/>
    <n v="4037.73"/>
    <n v="4446.45"/>
    <x v="0"/>
    <n v="0.09"/>
    <x v="1"/>
    <x v="0"/>
    <x v="5"/>
  </r>
  <r>
    <n v="1013"/>
    <d v="2023-10-21T00:00:00"/>
    <s v="2023"/>
    <x v="7"/>
    <s v="Saturday"/>
    <x v="1"/>
    <x v="3"/>
    <x v="169"/>
    <n v="20"/>
    <x v="3"/>
    <n v="1533.36"/>
    <n v="1649.73999999999"/>
    <x v="0"/>
    <n v="0.1"/>
    <x v="1"/>
    <x v="0"/>
    <x v="16"/>
  </r>
  <r>
    <n v="1032"/>
    <d v="2023-06-08T00:00:00"/>
    <s v="2023"/>
    <x v="6"/>
    <s v="Thursday"/>
    <x v="3"/>
    <x v="1"/>
    <x v="170"/>
    <n v="49"/>
    <x v="3"/>
    <n v="4812.41"/>
    <n v="5088"/>
    <x v="0"/>
    <n v="0.09"/>
    <x v="2"/>
    <x v="0"/>
    <x v="8"/>
  </r>
  <r>
    <n v="1071"/>
    <d v="2023-10-30T00:00:00"/>
    <s v="2023"/>
    <x v="7"/>
    <s v="Monday"/>
    <x v="4"/>
    <x v="1"/>
    <x v="171"/>
    <n v="22"/>
    <x v="3"/>
    <n v="2701.39"/>
    <n v="3185.81"/>
    <x v="1"/>
    <n v="0.01"/>
    <x v="1"/>
    <x v="0"/>
    <x v="17"/>
  </r>
  <r>
    <n v="1059"/>
    <d v="2023-08-16T00:00:00"/>
    <s v="2023"/>
    <x v="3"/>
    <s v="Wednesday"/>
    <x v="4"/>
    <x v="1"/>
    <x v="172"/>
    <n v="21"/>
    <x v="2"/>
    <n v="3110.54"/>
    <n v="3192.99"/>
    <x v="1"/>
    <n v="0.17"/>
    <x v="2"/>
    <x v="0"/>
    <x v="17"/>
  </r>
  <r>
    <n v="1086"/>
    <d v="2023-12-31T00:00:00"/>
    <s v="2023"/>
    <x v="9"/>
    <s v="Sunday"/>
    <x v="4"/>
    <x v="2"/>
    <x v="173"/>
    <n v="33"/>
    <x v="2"/>
    <n v="3419.33"/>
    <n v="3890.3599999999901"/>
    <x v="0"/>
    <n v="0.21"/>
    <x v="0"/>
    <x v="1"/>
    <x v="9"/>
  </r>
  <r>
    <n v="1028"/>
    <d v="2023-08-04T00:00:00"/>
    <s v="2023"/>
    <x v="3"/>
    <s v="Friday"/>
    <x v="4"/>
    <x v="0"/>
    <x v="174"/>
    <n v="38"/>
    <x v="2"/>
    <n v="3350.32"/>
    <n v="3449.94"/>
    <x v="1"/>
    <n v="0.26"/>
    <x v="0"/>
    <x v="0"/>
    <x v="15"/>
  </r>
  <r>
    <n v="1066"/>
    <d v="2023-07-03T00:00:00"/>
    <s v="2023"/>
    <x v="11"/>
    <s v="Monday"/>
    <x v="2"/>
    <x v="0"/>
    <x v="175"/>
    <n v="15"/>
    <x v="0"/>
    <n v="2579.31"/>
    <n v="2867.36"/>
    <x v="0"/>
    <n v="0.04"/>
    <x v="1"/>
    <x v="1"/>
    <x v="19"/>
  </r>
  <r>
    <n v="1042"/>
    <d v="2023-01-15T00:00:00"/>
    <s v="2023"/>
    <x v="5"/>
    <s v="Sunday"/>
    <x v="1"/>
    <x v="2"/>
    <x v="176"/>
    <n v="46"/>
    <x v="0"/>
    <n v="2172.38"/>
    <n v="2367.11"/>
    <x v="1"/>
    <n v="0.16"/>
    <x v="0"/>
    <x v="1"/>
    <x v="2"/>
  </r>
  <r>
    <n v="1045"/>
    <d v="2023-06-06T00:00:00"/>
    <s v="2023"/>
    <x v="6"/>
    <s v="Tuesday"/>
    <x v="0"/>
    <x v="2"/>
    <x v="177"/>
    <n v="15"/>
    <x v="3"/>
    <n v="316.22000000000003"/>
    <n v="799.04"/>
    <x v="1"/>
    <n v="0"/>
    <x v="1"/>
    <x v="0"/>
    <x v="3"/>
  </r>
  <r>
    <n v="1062"/>
    <d v="2023-05-16T00:00:00"/>
    <s v="2023"/>
    <x v="10"/>
    <s v="Tuesday"/>
    <x v="2"/>
    <x v="0"/>
    <x v="178"/>
    <n v="46"/>
    <x v="0"/>
    <n v="159.32"/>
    <n v="303.36"/>
    <x v="1"/>
    <n v="0.03"/>
    <x v="0"/>
    <x v="1"/>
    <x v="19"/>
  </r>
  <r>
    <n v="1057"/>
    <d v="2023-09-18T00:00:00"/>
    <s v="2023"/>
    <x v="2"/>
    <s v="Monday"/>
    <x v="2"/>
    <x v="1"/>
    <x v="179"/>
    <n v="25"/>
    <x v="1"/>
    <n v="1821.91"/>
    <n v="2027.74"/>
    <x v="1"/>
    <n v="0.02"/>
    <x v="1"/>
    <x v="1"/>
    <x v="5"/>
  </r>
  <r>
    <n v="1006"/>
    <d v="2023-06-06T00:00:00"/>
    <s v="2023"/>
    <x v="6"/>
    <s v="Tuesday"/>
    <x v="0"/>
    <x v="3"/>
    <x v="180"/>
    <n v="21"/>
    <x v="3"/>
    <n v="1701.62"/>
    <n v="2193.2199999999998"/>
    <x v="1"/>
    <n v="0.22"/>
    <x v="1"/>
    <x v="1"/>
    <x v="12"/>
  </r>
  <r>
    <n v="1028"/>
    <d v="2023-02-16T00:00:00"/>
    <s v="2023"/>
    <x v="0"/>
    <s v="Thursday"/>
    <x v="0"/>
    <x v="3"/>
    <x v="181"/>
    <n v="24"/>
    <x v="3"/>
    <n v="1969.09"/>
    <n v="2241.96"/>
    <x v="0"/>
    <n v="0.02"/>
    <x v="2"/>
    <x v="0"/>
    <x v="12"/>
  </r>
  <r>
    <n v="1028"/>
    <d v="2023-11-20T00:00:00"/>
    <s v="2023"/>
    <x v="8"/>
    <s v="Monday"/>
    <x v="4"/>
    <x v="3"/>
    <x v="182"/>
    <n v="5"/>
    <x v="1"/>
    <n v="734.92"/>
    <n v="991.21"/>
    <x v="0"/>
    <n v="0.21"/>
    <x v="2"/>
    <x v="0"/>
    <x v="18"/>
  </r>
  <r>
    <n v="1044"/>
    <d v="2023-11-28T00:00:00"/>
    <s v="2023"/>
    <x v="8"/>
    <s v="Tuesday"/>
    <x v="2"/>
    <x v="1"/>
    <x v="183"/>
    <n v="6"/>
    <x v="3"/>
    <n v="3703.93"/>
    <n v="3840.24"/>
    <x v="1"/>
    <n v="7.0000000000000007E-2"/>
    <x v="2"/>
    <x v="0"/>
    <x v="5"/>
  </r>
  <r>
    <n v="1084"/>
    <d v="2023-06-22T00:00:00"/>
    <s v="2023"/>
    <x v="6"/>
    <s v="Thursday"/>
    <x v="3"/>
    <x v="0"/>
    <x v="184"/>
    <n v="49"/>
    <x v="0"/>
    <n v="4291.97"/>
    <n v="4645.6400000000003"/>
    <x v="0"/>
    <n v="0.26"/>
    <x v="2"/>
    <x v="0"/>
    <x v="7"/>
  </r>
  <r>
    <n v="1030"/>
    <d v="2023-05-10T00:00:00"/>
    <s v="2023"/>
    <x v="10"/>
    <s v="Wednesday"/>
    <x v="0"/>
    <x v="2"/>
    <x v="185"/>
    <n v="43"/>
    <x v="2"/>
    <n v="4696.6400000000003"/>
    <n v="4713.68"/>
    <x v="0"/>
    <n v="0.24"/>
    <x v="1"/>
    <x v="0"/>
    <x v="3"/>
  </r>
  <r>
    <n v="1062"/>
    <d v="2023-04-05T00:00:00"/>
    <s v="2023"/>
    <x v="1"/>
    <s v="Wednesday"/>
    <x v="0"/>
    <x v="0"/>
    <x v="186"/>
    <n v="48"/>
    <x v="1"/>
    <n v="2487.19"/>
    <n v="2521.4499999999998"/>
    <x v="1"/>
    <n v="0.28999999999999998"/>
    <x v="0"/>
    <x v="0"/>
    <x v="0"/>
  </r>
  <r>
    <n v="1075"/>
    <d v="2023-04-25T00:00:00"/>
    <s v="2023"/>
    <x v="1"/>
    <s v="Tuesday"/>
    <x v="1"/>
    <x v="1"/>
    <x v="187"/>
    <n v="44"/>
    <x v="0"/>
    <n v="3519.29"/>
    <n v="3822.98"/>
    <x v="0"/>
    <n v="0.27"/>
    <x v="1"/>
    <x v="0"/>
    <x v="13"/>
  </r>
  <r>
    <n v="1092"/>
    <d v="2023-08-31T00:00:00"/>
    <s v="2023"/>
    <x v="3"/>
    <s v="Thursday"/>
    <x v="3"/>
    <x v="2"/>
    <x v="188"/>
    <n v="47"/>
    <x v="1"/>
    <n v="4284.9799999999996"/>
    <n v="4462.3999999999996"/>
    <x v="1"/>
    <n v="0.28000000000000003"/>
    <x v="2"/>
    <x v="1"/>
    <x v="6"/>
  </r>
  <r>
    <n v="1089"/>
    <d v="2023-10-19T00:00:00"/>
    <s v="2023"/>
    <x v="7"/>
    <s v="Thursday"/>
    <x v="3"/>
    <x v="1"/>
    <x v="189"/>
    <n v="23"/>
    <x v="1"/>
    <n v="2120.54"/>
    <n v="2597.67"/>
    <x v="0"/>
    <n v="0.26"/>
    <x v="2"/>
    <x v="1"/>
    <x v="8"/>
  </r>
  <r>
    <n v="1062"/>
    <d v="2023-10-09T00:00:00"/>
    <s v="2023"/>
    <x v="7"/>
    <s v="Monday"/>
    <x v="0"/>
    <x v="3"/>
    <x v="190"/>
    <n v="4"/>
    <x v="3"/>
    <n v="1581.59"/>
    <n v="2034.1499999999901"/>
    <x v="0"/>
    <n v="0.21"/>
    <x v="0"/>
    <x v="0"/>
    <x v="12"/>
  </r>
  <r>
    <n v="1097"/>
    <d v="2023-10-26T00:00:00"/>
    <s v="2023"/>
    <x v="7"/>
    <s v="Thursday"/>
    <x v="4"/>
    <x v="3"/>
    <x v="191"/>
    <n v="27"/>
    <x v="3"/>
    <n v="4686.79"/>
    <n v="5046.51"/>
    <x v="0"/>
    <n v="0.05"/>
    <x v="2"/>
    <x v="1"/>
    <x v="18"/>
  </r>
  <r>
    <n v="1001"/>
    <d v="2023-10-10T00:00:00"/>
    <s v="2023"/>
    <x v="7"/>
    <s v="Tuesday"/>
    <x v="1"/>
    <x v="1"/>
    <x v="192"/>
    <n v="18"/>
    <x v="0"/>
    <n v="2602.6"/>
    <n v="3013.49"/>
    <x v="0"/>
    <n v="0.08"/>
    <x v="1"/>
    <x v="0"/>
    <x v="13"/>
  </r>
  <r>
    <n v="1027"/>
    <d v="2023-03-10T00:00:00"/>
    <s v="2023"/>
    <x v="4"/>
    <s v="Friday"/>
    <x v="3"/>
    <x v="2"/>
    <x v="193"/>
    <n v="21"/>
    <x v="1"/>
    <n v="2511.41"/>
    <n v="2848.3999999999901"/>
    <x v="0"/>
    <n v="0.06"/>
    <x v="1"/>
    <x v="0"/>
    <x v="6"/>
  </r>
  <r>
    <n v="1062"/>
    <d v="2023-05-28T00:00:00"/>
    <s v="2023"/>
    <x v="10"/>
    <s v="Sunday"/>
    <x v="0"/>
    <x v="2"/>
    <x v="194"/>
    <n v="28"/>
    <x v="3"/>
    <n v="933.16"/>
    <n v="1004.69999999999"/>
    <x v="0"/>
    <n v="0.18"/>
    <x v="1"/>
    <x v="0"/>
    <x v="3"/>
  </r>
  <r>
    <n v="1077"/>
    <d v="2023-01-11T00:00:00"/>
    <s v="2023"/>
    <x v="5"/>
    <s v="Wednesday"/>
    <x v="3"/>
    <x v="0"/>
    <x v="195"/>
    <n v="35"/>
    <x v="3"/>
    <n v="585.37"/>
    <n v="970.49"/>
    <x v="0"/>
    <n v="0.15"/>
    <x v="1"/>
    <x v="1"/>
    <x v="7"/>
  </r>
  <r>
    <n v="1003"/>
    <d v="2023-09-11T00:00:00"/>
    <s v="2023"/>
    <x v="2"/>
    <s v="Monday"/>
    <x v="1"/>
    <x v="3"/>
    <x v="196"/>
    <n v="22"/>
    <x v="1"/>
    <n v="4218.43"/>
    <n v="4331.42"/>
    <x v="1"/>
    <n v="0.26"/>
    <x v="1"/>
    <x v="0"/>
    <x v="16"/>
  </r>
  <r>
    <n v="1070"/>
    <d v="2023-11-26T00:00:00"/>
    <s v="2023"/>
    <x v="8"/>
    <s v="Sunday"/>
    <x v="1"/>
    <x v="0"/>
    <x v="197"/>
    <n v="40"/>
    <x v="0"/>
    <n v="3089.96"/>
    <n v="3258.45"/>
    <x v="1"/>
    <n v="0.28999999999999998"/>
    <x v="0"/>
    <x v="0"/>
    <x v="11"/>
  </r>
  <r>
    <n v="1072"/>
    <d v="2023-12-26T00:00:00"/>
    <s v="2023"/>
    <x v="9"/>
    <s v="Tuesday"/>
    <x v="2"/>
    <x v="0"/>
    <x v="198"/>
    <n v="23"/>
    <x v="0"/>
    <n v="1662.83"/>
    <n v="2074.25"/>
    <x v="1"/>
    <n v="0.12"/>
    <x v="1"/>
    <x v="0"/>
    <x v="19"/>
  </r>
  <r>
    <n v="1027"/>
    <d v="2023-02-07T00:00:00"/>
    <s v="2023"/>
    <x v="0"/>
    <s v="Tuesday"/>
    <x v="0"/>
    <x v="1"/>
    <x v="199"/>
    <n v="3"/>
    <x v="1"/>
    <n v="999.09"/>
    <n v="1271.99"/>
    <x v="1"/>
    <n v="0.15"/>
    <x v="2"/>
    <x v="0"/>
    <x v="1"/>
  </r>
  <r>
    <n v="1009"/>
    <d v="2023-05-14T00:00:00"/>
    <s v="2023"/>
    <x v="10"/>
    <s v="Sunday"/>
    <x v="1"/>
    <x v="1"/>
    <x v="200"/>
    <n v="40"/>
    <x v="0"/>
    <n v="2799.71"/>
    <n v="3231.08"/>
    <x v="0"/>
    <n v="0.28999999999999998"/>
    <x v="2"/>
    <x v="1"/>
    <x v="13"/>
  </r>
  <r>
    <n v="1062"/>
    <d v="2023-07-19T00:00:00"/>
    <s v="2023"/>
    <x v="11"/>
    <s v="Wednesday"/>
    <x v="2"/>
    <x v="0"/>
    <x v="201"/>
    <n v="10"/>
    <x v="3"/>
    <n v="2940.4"/>
    <n v="3054.79"/>
    <x v="0"/>
    <n v="0.08"/>
    <x v="2"/>
    <x v="0"/>
    <x v="19"/>
  </r>
  <r>
    <n v="1037"/>
    <d v="2023-01-23T00:00:00"/>
    <s v="2023"/>
    <x v="5"/>
    <s v="Monday"/>
    <x v="2"/>
    <x v="3"/>
    <x v="202"/>
    <n v="25"/>
    <x v="1"/>
    <n v="1074.6199999999999"/>
    <n v="1382.4299999999901"/>
    <x v="0"/>
    <n v="0.24"/>
    <x v="2"/>
    <x v="1"/>
    <x v="4"/>
  </r>
  <r>
    <n v="1097"/>
    <d v="2023-10-30T00:00:00"/>
    <s v="2023"/>
    <x v="7"/>
    <s v="Monday"/>
    <x v="3"/>
    <x v="1"/>
    <x v="203"/>
    <n v="49"/>
    <x v="3"/>
    <n v="4264.46"/>
    <n v="4315.5200000000004"/>
    <x v="1"/>
    <n v="7.0000000000000007E-2"/>
    <x v="0"/>
    <x v="1"/>
    <x v="8"/>
  </r>
  <r>
    <n v="1051"/>
    <d v="2023-12-12T00:00:00"/>
    <s v="2023"/>
    <x v="9"/>
    <s v="Tuesday"/>
    <x v="3"/>
    <x v="0"/>
    <x v="204"/>
    <n v="8"/>
    <x v="2"/>
    <n v="467.11"/>
    <n v="792.21"/>
    <x v="1"/>
    <n v="0.2"/>
    <x v="2"/>
    <x v="0"/>
    <x v="7"/>
  </r>
  <r>
    <n v="1044"/>
    <d v="2023-10-29T00:00:00"/>
    <s v="2023"/>
    <x v="7"/>
    <s v="Sunday"/>
    <x v="2"/>
    <x v="0"/>
    <x v="205"/>
    <n v="11"/>
    <x v="2"/>
    <n v="1812.66"/>
    <n v="2196.3000000000002"/>
    <x v="1"/>
    <n v="0.08"/>
    <x v="0"/>
    <x v="0"/>
    <x v="19"/>
  </r>
  <r>
    <n v="1024"/>
    <d v="2023-12-29T00:00:00"/>
    <s v="2023"/>
    <x v="9"/>
    <s v="Friday"/>
    <x v="3"/>
    <x v="0"/>
    <x v="206"/>
    <n v="5"/>
    <x v="0"/>
    <n v="3417.9"/>
    <n v="3714.52"/>
    <x v="0"/>
    <n v="0.27"/>
    <x v="2"/>
    <x v="1"/>
    <x v="7"/>
  </r>
  <r>
    <n v="1079"/>
    <d v="2023-08-06T00:00:00"/>
    <s v="2023"/>
    <x v="3"/>
    <s v="Sunday"/>
    <x v="1"/>
    <x v="0"/>
    <x v="207"/>
    <n v="45"/>
    <x v="2"/>
    <n v="1406.9"/>
    <n v="1547.35"/>
    <x v="1"/>
    <n v="0.17"/>
    <x v="0"/>
    <x v="1"/>
    <x v="11"/>
  </r>
  <r>
    <n v="1059"/>
    <d v="2023-05-21T00:00:00"/>
    <s v="2023"/>
    <x v="10"/>
    <s v="Sunday"/>
    <x v="4"/>
    <x v="0"/>
    <x v="208"/>
    <n v="37"/>
    <x v="3"/>
    <n v="4146.99"/>
    <n v="4172.3499999999904"/>
    <x v="0"/>
    <n v="0.06"/>
    <x v="0"/>
    <x v="1"/>
    <x v="15"/>
  </r>
  <r>
    <n v="1032"/>
    <d v="2023-04-14T00:00:00"/>
    <s v="2023"/>
    <x v="1"/>
    <s v="Friday"/>
    <x v="1"/>
    <x v="0"/>
    <x v="209"/>
    <n v="45"/>
    <x v="2"/>
    <n v="3712.35"/>
    <n v="3780.88"/>
    <x v="1"/>
    <n v="7.0000000000000007E-2"/>
    <x v="0"/>
    <x v="1"/>
    <x v="11"/>
  </r>
  <r>
    <n v="1096"/>
    <d v="2023-07-29T00:00:00"/>
    <s v="2023"/>
    <x v="11"/>
    <s v="Saturday"/>
    <x v="2"/>
    <x v="1"/>
    <x v="210"/>
    <n v="38"/>
    <x v="3"/>
    <n v="3955.66"/>
    <n v="4270.59"/>
    <x v="0"/>
    <n v="0.15"/>
    <x v="2"/>
    <x v="0"/>
    <x v="5"/>
  </r>
  <r>
    <n v="1088"/>
    <d v="2023-04-21T00:00:00"/>
    <s v="2023"/>
    <x v="1"/>
    <s v="Friday"/>
    <x v="2"/>
    <x v="3"/>
    <x v="211"/>
    <n v="29"/>
    <x v="0"/>
    <n v="639.58000000000004"/>
    <n v="1107.45"/>
    <x v="1"/>
    <n v="0.28999999999999998"/>
    <x v="0"/>
    <x v="1"/>
    <x v="4"/>
  </r>
  <r>
    <n v="1052"/>
    <d v="2023-04-14T00:00:00"/>
    <s v="2023"/>
    <x v="1"/>
    <s v="Friday"/>
    <x v="1"/>
    <x v="0"/>
    <x v="212"/>
    <n v="5"/>
    <x v="0"/>
    <n v="745.71"/>
    <n v="856.91"/>
    <x v="0"/>
    <n v="0.23"/>
    <x v="1"/>
    <x v="1"/>
    <x v="11"/>
  </r>
  <r>
    <n v="1062"/>
    <d v="2023-11-12T00:00:00"/>
    <s v="2023"/>
    <x v="8"/>
    <s v="Sunday"/>
    <x v="3"/>
    <x v="2"/>
    <x v="213"/>
    <n v="9"/>
    <x v="3"/>
    <n v="1468.05"/>
    <n v="1838.21"/>
    <x v="1"/>
    <n v="0.15"/>
    <x v="1"/>
    <x v="1"/>
    <x v="6"/>
  </r>
  <r>
    <n v="1058"/>
    <d v="2023-06-20T00:00:00"/>
    <s v="2023"/>
    <x v="6"/>
    <s v="Tuesday"/>
    <x v="3"/>
    <x v="1"/>
    <x v="214"/>
    <n v="48"/>
    <x v="2"/>
    <n v="2614.48"/>
    <n v="3049.04"/>
    <x v="1"/>
    <n v="0.1"/>
    <x v="2"/>
    <x v="1"/>
    <x v="8"/>
  </r>
  <r>
    <n v="1052"/>
    <d v="2023-12-22T00:00:00"/>
    <s v="2023"/>
    <x v="9"/>
    <s v="Friday"/>
    <x v="2"/>
    <x v="1"/>
    <x v="215"/>
    <n v="2"/>
    <x v="0"/>
    <n v="3752.68"/>
    <n v="4017.91"/>
    <x v="0"/>
    <n v="0.16"/>
    <x v="1"/>
    <x v="0"/>
    <x v="5"/>
  </r>
  <r>
    <n v="1012"/>
    <d v="2023-11-20T00:00:00"/>
    <s v="2023"/>
    <x v="8"/>
    <s v="Monday"/>
    <x v="0"/>
    <x v="0"/>
    <x v="216"/>
    <n v="1"/>
    <x v="1"/>
    <n v="4190.83"/>
    <n v="4528.7699999999904"/>
    <x v="0"/>
    <n v="0.22"/>
    <x v="1"/>
    <x v="0"/>
    <x v="0"/>
  </r>
  <r>
    <n v="1039"/>
    <d v="2023-05-13T00:00:00"/>
    <s v="2023"/>
    <x v="10"/>
    <s v="Saturday"/>
    <x v="3"/>
    <x v="1"/>
    <x v="217"/>
    <n v="40"/>
    <x v="0"/>
    <n v="3536.46"/>
    <n v="3945.82"/>
    <x v="1"/>
    <n v="0.24"/>
    <x v="1"/>
    <x v="0"/>
    <x v="8"/>
  </r>
  <r>
    <n v="1002"/>
    <d v="2023-10-20T00:00:00"/>
    <s v="2023"/>
    <x v="7"/>
    <s v="Friday"/>
    <x v="1"/>
    <x v="0"/>
    <x v="218"/>
    <n v="30"/>
    <x v="2"/>
    <n v="4646.55"/>
    <n v="4784.28"/>
    <x v="0"/>
    <n v="0.1"/>
    <x v="2"/>
    <x v="1"/>
    <x v="11"/>
  </r>
  <r>
    <n v="1003"/>
    <d v="2023-11-24T00:00:00"/>
    <s v="2023"/>
    <x v="8"/>
    <s v="Friday"/>
    <x v="3"/>
    <x v="3"/>
    <x v="219"/>
    <n v="11"/>
    <x v="1"/>
    <n v="3706.78"/>
    <n v="3862.26"/>
    <x v="1"/>
    <n v="0.22"/>
    <x v="2"/>
    <x v="1"/>
    <x v="14"/>
  </r>
  <r>
    <n v="1056"/>
    <d v="2023-05-07T00:00:00"/>
    <s v="2023"/>
    <x v="10"/>
    <s v="Sunday"/>
    <x v="1"/>
    <x v="3"/>
    <x v="220"/>
    <n v="28"/>
    <x v="2"/>
    <n v="1566.03"/>
    <n v="1576.34"/>
    <x v="0"/>
    <n v="0.2"/>
    <x v="1"/>
    <x v="0"/>
    <x v="16"/>
  </r>
  <r>
    <n v="1081"/>
    <d v="2023-04-16T00:00:00"/>
    <s v="2023"/>
    <x v="1"/>
    <s v="Sunday"/>
    <x v="2"/>
    <x v="1"/>
    <x v="221"/>
    <n v="44"/>
    <x v="3"/>
    <n v="1362.15"/>
    <n v="1844.07"/>
    <x v="1"/>
    <n v="0.28999999999999998"/>
    <x v="2"/>
    <x v="0"/>
    <x v="5"/>
  </r>
  <r>
    <n v="1059"/>
    <d v="2023-04-02T00:00:00"/>
    <s v="2023"/>
    <x v="1"/>
    <s v="Sunday"/>
    <x v="3"/>
    <x v="1"/>
    <x v="222"/>
    <n v="12"/>
    <x v="1"/>
    <n v="3496.15"/>
    <n v="3955.75"/>
    <x v="0"/>
    <n v="0.28000000000000003"/>
    <x v="0"/>
    <x v="1"/>
    <x v="8"/>
  </r>
  <r>
    <n v="1002"/>
    <d v="2023-10-14T00:00:00"/>
    <s v="2023"/>
    <x v="7"/>
    <s v="Saturday"/>
    <x v="1"/>
    <x v="2"/>
    <x v="223"/>
    <n v="39"/>
    <x v="2"/>
    <n v="1004.71"/>
    <n v="1389.35"/>
    <x v="1"/>
    <n v="0.24"/>
    <x v="1"/>
    <x v="0"/>
    <x v="2"/>
  </r>
  <r>
    <n v="1002"/>
    <d v="2023-02-20T00:00:00"/>
    <s v="2023"/>
    <x v="0"/>
    <s v="Monday"/>
    <x v="2"/>
    <x v="1"/>
    <x v="224"/>
    <n v="26"/>
    <x v="1"/>
    <n v="508.94"/>
    <n v="557.69000000000005"/>
    <x v="1"/>
    <n v="0.22"/>
    <x v="2"/>
    <x v="1"/>
    <x v="5"/>
  </r>
  <r>
    <n v="1092"/>
    <d v="2023-01-29T00:00:00"/>
    <s v="2023"/>
    <x v="5"/>
    <s v="Sunday"/>
    <x v="0"/>
    <x v="2"/>
    <x v="225"/>
    <n v="13"/>
    <x v="2"/>
    <n v="2684.5"/>
    <n v="2913.78"/>
    <x v="1"/>
    <n v="0.08"/>
    <x v="2"/>
    <x v="1"/>
    <x v="3"/>
  </r>
  <r>
    <n v="1054"/>
    <d v="2023-10-23T00:00:00"/>
    <s v="2023"/>
    <x v="7"/>
    <s v="Monday"/>
    <x v="1"/>
    <x v="3"/>
    <x v="226"/>
    <n v="8"/>
    <x v="1"/>
    <n v="4117.13"/>
    <n v="4177.0600000000004"/>
    <x v="0"/>
    <n v="0.25"/>
    <x v="1"/>
    <x v="1"/>
    <x v="16"/>
  </r>
  <r>
    <n v="1087"/>
    <d v="2023-10-24T00:00:00"/>
    <s v="2023"/>
    <x v="7"/>
    <s v="Tuesday"/>
    <x v="0"/>
    <x v="3"/>
    <x v="227"/>
    <n v="28"/>
    <x v="2"/>
    <n v="551.83000000000004"/>
    <n v="569.63"/>
    <x v="1"/>
    <n v="0.13"/>
    <x v="2"/>
    <x v="1"/>
    <x v="12"/>
  </r>
  <r>
    <n v="1096"/>
    <d v="2023-08-02T00:00:00"/>
    <s v="2023"/>
    <x v="3"/>
    <s v="Wednesday"/>
    <x v="0"/>
    <x v="0"/>
    <x v="228"/>
    <n v="30"/>
    <x v="3"/>
    <n v="3969.86"/>
    <n v="4281.79"/>
    <x v="0"/>
    <n v="0.08"/>
    <x v="1"/>
    <x v="1"/>
    <x v="0"/>
  </r>
  <r>
    <n v="1097"/>
    <d v="2023-09-24T00:00:00"/>
    <s v="2023"/>
    <x v="2"/>
    <s v="Sunday"/>
    <x v="4"/>
    <x v="3"/>
    <x v="229"/>
    <n v="9"/>
    <x v="1"/>
    <n v="4067.28"/>
    <n v="4548.09"/>
    <x v="0"/>
    <n v="0.12"/>
    <x v="2"/>
    <x v="1"/>
    <x v="18"/>
  </r>
  <r>
    <n v="1001"/>
    <d v="2023-09-14T00:00:00"/>
    <s v="2023"/>
    <x v="2"/>
    <s v="Thursday"/>
    <x v="3"/>
    <x v="2"/>
    <x v="230"/>
    <n v="39"/>
    <x v="1"/>
    <n v="2437.2600000000002"/>
    <n v="2889.67"/>
    <x v="0"/>
    <n v="0.25"/>
    <x v="0"/>
    <x v="0"/>
    <x v="6"/>
  </r>
  <r>
    <n v="1019"/>
    <d v="2023-10-29T00:00:00"/>
    <s v="2023"/>
    <x v="7"/>
    <s v="Sunday"/>
    <x v="1"/>
    <x v="1"/>
    <x v="231"/>
    <n v="31"/>
    <x v="1"/>
    <n v="333.69"/>
    <n v="685.1"/>
    <x v="1"/>
    <n v="0.04"/>
    <x v="1"/>
    <x v="0"/>
    <x v="13"/>
  </r>
  <r>
    <n v="1002"/>
    <d v="2023-04-11T00:00:00"/>
    <s v="2023"/>
    <x v="1"/>
    <s v="Tuesday"/>
    <x v="0"/>
    <x v="0"/>
    <x v="232"/>
    <n v="21"/>
    <x v="1"/>
    <n v="914.22"/>
    <n v="971.57"/>
    <x v="0"/>
    <n v="0.14000000000000001"/>
    <x v="0"/>
    <x v="0"/>
    <x v="0"/>
  </r>
  <r>
    <n v="1053"/>
    <d v="2023-12-12T00:00:00"/>
    <s v="2023"/>
    <x v="9"/>
    <s v="Tuesday"/>
    <x v="4"/>
    <x v="2"/>
    <x v="233"/>
    <n v="47"/>
    <x v="3"/>
    <n v="3551.76"/>
    <n v="3696.1"/>
    <x v="0"/>
    <n v="0.15"/>
    <x v="1"/>
    <x v="1"/>
    <x v="9"/>
  </r>
  <r>
    <n v="1044"/>
    <d v="2023-04-20T00:00:00"/>
    <s v="2023"/>
    <x v="1"/>
    <s v="Thursday"/>
    <x v="2"/>
    <x v="1"/>
    <x v="234"/>
    <n v="34"/>
    <x v="1"/>
    <n v="3573.3"/>
    <n v="3740.13"/>
    <x v="0"/>
    <n v="0.01"/>
    <x v="2"/>
    <x v="0"/>
    <x v="5"/>
  </r>
  <r>
    <n v="1090"/>
    <d v="2023-07-01T00:00:00"/>
    <s v="2023"/>
    <x v="11"/>
    <s v="Saturday"/>
    <x v="1"/>
    <x v="0"/>
    <x v="235"/>
    <n v="31"/>
    <x v="0"/>
    <n v="4496.8599999999997"/>
    <n v="4880.7999999999902"/>
    <x v="1"/>
    <n v="0.06"/>
    <x v="0"/>
    <x v="1"/>
    <x v="11"/>
  </r>
  <r>
    <n v="1032"/>
    <d v="2023-11-09T00:00:00"/>
    <s v="2023"/>
    <x v="8"/>
    <s v="Thursday"/>
    <x v="0"/>
    <x v="3"/>
    <x v="236"/>
    <n v="25"/>
    <x v="3"/>
    <n v="2934.3"/>
    <n v="3337.4"/>
    <x v="0"/>
    <n v="0.25"/>
    <x v="2"/>
    <x v="1"/>
    <x v="12"/>
  </r>
  <r>
    <n v="1070"/>
    <d v="2023-01-01T00:00:00"/>
    <s v="2023"/>
    <x v="5"/>
    <s v="Sunday"/>
    <x v="3"/>
    <x v="2"/>
    <x v="237"/>
    <n v="12"/>
    <x v="0"/>
    <n v="664.33"/>
    <n v="863.03"/>
    <x v="0"/>
    <n v="0.25"/>
    <x v="1"/>
    <x v="1"/>
    <x v="6"/>
  </r>
  <r>
    <n v="1032"/>
    <d v="2023-11-15T00:00:00"/>
    <s v="2023"/>
    <x v="8"/>
    <s v="Wednesday"/>
    <x v="4"/>
    <x v="1"/>
    <x v="238"/>
    <n v="1"/>
    <x v="1"/>
    <n v="651"/>
    <n v="865.76"/>
    <x v="0"/>
    <n v="0.09"/>
    <x v="1"/>
    <x v="1"/>
    <x v="17"/>
  </r>
  <r>
    <n v="1068"/>
    <d v="2023-02-24T00:00:00"/>
    <s v="2023"/>
    <x v="0"/>
    <s v="Friday"/>
    <x v="0"/>
    <x v="0"/>
    <x v="239"/>
    <n v="22"/>
    <x v="2"/>
    <n v="3619.61"/>
    <n v="3651.42"/>
    <x v="0"/>
    <n v="0.26"/>
    <x v="1"/>
    <x v="0"/>
    <x v="0"/>
  </r>
  <r>
    <n v="1055"/>
    <d v="2023-05-29T00:00:00"/>
    <s v="2023"/>
    <x v="10"/>
    <s v="Monday"/>
    <x v="3"/>
    <x v="0"/>
    <x v="240"/>
    <n v="40"/>
    <x v="0"/>
    <n v="959.73"/>
    <n v="1111.4100000000001"/>
    <x v="1"/>
    <n v="0.23"/>
    <x v="1"/>
    <x v="0"/>
    <x v="7"/>
  </r>
  <r>
    <n v="1075"/>
    <d v="2023-11-05T00:00:00"/>
    <s v="2023"/>
    <x v="8"/>
    <s v="Sunday"/>
    <x v="0"/>
    <x v="3"/>
    <x v="241"/>
    <n v="37"/>
    <x v="1"/>
    <n v="1675.51"/>
    <n v="1906.6399999999901"/>
    <x v="1"/>
    <n v="0.13"/>
    <x v="1"/>
    <x v="0"/>
    <x v="12"/>
  </r>
  <r>
    <n v="1056"/>
    <d v="2023-05-17T00:00:00"/>
    <s v="2023"/>
    <x v="10"/>
    <s v="Wednesday"/>
    <x v="1"/>
    <x v="1"/>
    <x v="242"/>
    <n v="47"/>
    <x v="0"/>
    <n v="2461.6999999999998"/>
    <n v="2529.02"/>
    <x v="0"/>
    <n v="0.22"/>
    <x v="0"/>
    <x v="1"/>
    <x v="13"/>
  </r>
  <r>
    <n v="1017"/>
    <d v="2023-07-21T00:00:00"/>
    <s v="2023"/>
    <x v="11"/>
    <s v="Friday"/>
    <x v="1"/>
    <x v="3"/>
    <x v="243"/>
    <n v="1"/>
    <x v="1"/>
    <n v="172.59"/>
    <n v="404.69"/>
    <x v="0"/>
    <n v="0.28999999999999998"/>
    <x v="1"/>
    <x v="0"/>
    <x v="16"/>
  </r>
  <r>
    <n v="1038"/>
    <d v="2023-11-09T00:00:00"/>
    <s v="2023"/>
    <x v="8"/>
    <s v="Thursday"/>
    <x v="1"/>
    <x v="3"/>
    <x v="244"/>
    <n v="1"/>
    <x v="1"/>
    <n v="1281.6500000000001"/>
    <n v="1709.71"/>
    <x v="0"/>
    <n v="0.14000000000000001"/>
    <x v="2"/>
    <x v="0"/>
    <x v="16"/>
  </r>
  <r>
    <n v="1024"/>
    <d v="2023-04-27T00:00:00"/>
    <s v="2023"/>
    <x v="1"/>
    <s v="Thursday"/>
    <x v="4"/>
    <x v="1"/>
    <x v="245"/>
    <n v="42"/>
    <x v="1"/>
    <n v="2069.0500000000002"/>
    <n v="2363.9"/>
    <x v="0"/>
    <n v="7.0000000000000007E-2"/>
    <x v="0"/>
    <x v="0"/>
    <x v="17"/>
  </r>
  <r>
    <n v="1069"/>
    <d v="2023-06-03T00:00:00"/>
    <s v="2023"/>
    <x v="6"/>
    <s v="Saturday"/>
    <x v="1"/>
    <x v="1"/>
    <x v="246"/>
    <n v="42"/>
    <x v="2"/>
    <n v="1434.2"/>
    <n v="1482.88"/>
    <x v="1"/>
    <n v="0.28000000000000003"/>
    <x v="2"/>
    <x v="1"/>
    <x v="13"/>
  </r>
  <r>
    <n v="1098"/>
    <d v="2023-10-18T00:00:00"/>
    <s v="2023"/>
    <x v="7"/>
    <s v="Wednesday"/>
    <x v="3"/>
    <x v="1"/>
    <x v="247"/>
    <n v="21"/>
    <x v="0"/>
    <n v="725.03"/>
    <n v="828.94999999999902"/>
    <x v="1"/>
    <n v="0.18"/>
    <x v="1"/>
    <x v="0"/>
    <x v="8"/>
  </r>
  <r>
    <n v="1070"/>
    <d v="2023-03-04T00:00:00"/>
    <s v="2023"/>
    <x v="4"/>
    <s v="Saturday"/>
    <x v="0"/>
    <x v="2"/>
    <x v="248"/>
    <n v="15"/>
    <x v="3"/>
    <n v="3653.66"/>
    <n v="3896.19"/>
    <x v="1"/>
    <n v="0.03"/>
    <x v="2"/>
    <x v="1"/>
    <x v="3"/>
  </r>
  <r>
    <n v="1086"/>
    <d v="2023-09-01T00:00:00"/>
    <s v="2023"/>
    <x v="2"/>
    <s v="Friday"/>
    <x v="2"/>
    <x v="1"/>
    <x v="249"/>
    <n v="17"/>
    <x v="3"/>
    <n v="4075.08"/>
    <n v="4262.21"/>
    <x v="1"/>
    <n v="0.17"/>
    <x v="0"/>
    <x v="0"/>
    <x v="5"/>
  </r>
  <r>
    <n v="1011"/>
    <d v="2023-01-25T00:00:00"/>
    <s v="2023"/>
    <x v="5"/>
    <s v="Wednesday"/>
    <x v="3"/>
    <x v="0"/>
    <x v="250"/>
    <n v="22"/>
    <x v="3"/>
    <n v="1324.52"/>
    <n v="1510.3"/>
    <x v="0"/>
    <n v="0.15"/>
    <x v="0"/>
    <x v="1"/>
    <x v="7"/>
  </r>
  <r>
    <n v="1016"/>
    <d v="2023-03-31T00:00:00"/>
    <s v="2023"/>
    <x v="4"/>
    <s v="Friday"/>
    <x v="3"/>
    <x v="3"/>
    <x v="251"/>
    <n v="38"/>
    <x v="3"/>
    <n v="3883.38"/>
    <n v="4152.72"/>
    <x v="0"/>
    <n v="0.26"/>
    <x v="0"/>
    <x v="0"/>
    <x v="14"/>
  </r>
  <r>
    <n v="1097"/>
    <d v="2023-03-16T00:00:00"/>
    <s v="2023"/>
    <x v="4"/>
    <s v="Thursday"/>
    <x v="1"/>
    <x v="2"/>
    <x v="252"/>
    <n v="35"/>
    <x v="1"/>
    <n v="1958.49"/>
    <n v="2254.84"/>
    <x v="1"/>
    <n v="0.16"/>
    <x v="2"/>
    <x v="0"/>
    <x v="2"/>
  </r>
  <r>
    <n v="1073"/>
    <d v="2023-10-21T00:00:00"/>
    <s v="2023"/>
    <x v="7"/>
    <s v="Saturday"/>
    <x v="4"/>
    <x v="1"/>
    <x v="253"/>
    <n v="45"/>
    <x v="0"/>
    <n v="2558.09"/>
    <n v="2958.55"/>
    <x v="1"/>
    <n v="0.08"/>
    <x v="0"/>
    <x v="0"/>
    <x v="17"/>
  </r>
  <r>
    <n v="1059"/>
    <d v="2023-07-29T00:00:00"/>
    <s v="2023"/>
    <x v="11"/>
    <s v="Saturday"/>
    <x v="0"/>
    <x v="2"/>
    <x v="254"/>
    <n v="16"/>
    <x v="0"/>
    <n v="4287.21"/>
    <n v="4464.28"/>
    <x v="0"/>
    <n v="0.2"/>
    <x v="2"/>
    <x v="1"/>
    <x v="3"/>
  </r>
  <r>
    <n v="1070"/>
    <d v="2023-12-13T00:00:00"/>
    <s v="2023"/>
    <x v="9"/>
    <s v="Wednesday"/>
    <x v="4"/>
    <x v="1"/>
    <x v="255"/>
    <n v="8"/>
    <x v="2"/>
    <n v="3762.27"/>
    <n v="4166.95"/>
    <x v="0"/>
    <n v="0.16"/>
    <x v="1"/>
    <x v="0"/>
    <x v="17"/>
  </r>
  <r>
    <n v="1080"/>
    <d v="2023-01-17T00:00:00"/>
    <s v="2023"/>
    <x v="5"/>
    <s v="Tuesday"/>
    <x v="0"/>
    <x v="2"/>
    <x v="256"/>
    <n v="47"/>
    <x v="0"/>
    <n v="4035.33"/>
    <n v="4211.25"/>
    <x v="0"/>
    <n v="7.0000000000000007E-2"/>
    <x v="1"/>
    <x v="0"/>
    <x v="3"/>
  </r>
  <r>
    <n v="1093"/>
    <d v="2023-05-08T00:00:00"/>
    <s v="2023"/>
    <x v="10"/>
    <s v="Monday"/>
    <x v="0"/>
    <x v="3"/>
    <x v="257"/>
    <n v="17"/>
    <x v="0"/>
    <n v="727.38"/>
    <n v="764.54"/>
    <x v="0"/>
    <n v="0.17"/>
    <x v="2"/>
    <x v="1"/>
    <x v="12"/>
  </r>
  <r>
    <n v="1003"/>
    <d v="2023-12-30T00:00:00"/>
    <s v="2023"/>
    <x v="9"/>
    <s v="Saturday"/>
    <x v="4"/>
    <x v="3"/>
    <x v="258"/>
    <n v="17"/>
    <x v="0"/>
    <n v="395.11"/>
    <n v="676.66"/>
    <x v="0"/>
    <n v="0.25"/>
    <x v="0"/>
    <x v="1"/>
    <x v="18"/>
  </r>
  <r>
    <n v="1020"/>
    <d v="2023-09-08T00:00:00"/>
    <s v="2023"/>
    <x v="2"/>
    <s v="Friday"/>
    <x v="3"/>
    <x v="0"/>
    <x v="259"/>
    <n v="26"/>
    <x v="2"/>
    <n v="4472.3500000000004"/>
    <n v="4770.42"/>
    <x v="1"/>
    <n v="0.01"/>
    <x v="2"/>
    <x v="1"/>
    <x v="7"/>
  </r>
  <r>
    <n v="1059"/>
    <d v="2023-06-28T00:00:00"/>
    <s v="2023"/>
    <x v="6"/>
    <s v="Wednesday"/>
    <x v="0"/>
    <x v="0"/>
    <x v="260"/>
    <n v="13"/>
    <x v="3"/>
    <n v="1969.78"/>
    <n v="2437.6999999999998"/>
    <x v="1"/>
    <n v="0.19"/>
    <x v="2"/>
    <x v="1"/>
    <x v="0"/>
  </r>
  <r>
    <n v="1036"/>
    <d v="2023-07-01T00:00:00"/>
    <s v="2023"/>
    <x v="11"/>
    <s v="Saturday"/>
    <x v="4"/>
    <x v="1"/>
    <x v="261"/>
    <n v="17"/>
    <x v="0"/>
    <n v="1475"/>
    <n v="1840.77"/>
    <x v="0"/>
    <n v="0.1"/>
    <x v="2"/>
    <x v="0"/>
    <x v="17"/>
  </r>
  <r>
    <n v="1019"/>
    <d v="2023-06-01T00:00:00"/>
    <s v="2023"/>
    <x v="6"/>
    <s v="Thursday"/>
    <x v="0"/>
    <x v="3"/>
    <x v="262"/>
    <n v="38"/>
    <x v="2"/>
    <n v="3637.25"/>
    <n v="4096.96"/>
    <x v="0"/>
    <n v="0.09"/>
    <x v="1"/>
    <x v="0"/>
    <x v="12"/>
  </r>
  <r>
    <n v="1090"/>
    <d v="2023-01-25T00:00:00"/>
    <s v="2023"/>
    <x v="5"/>
    <s v="Wednesday"/>
    <x v="2"/>
    <x v="2"/>
    <x v="263"/>
    <n v="17"/>
    <x v="2"/>
    <n v="4190.26"/>
    <n v="4645.3500000000004"/>
    <x v="1"/>
    <n v="0.12"/>
    <x v="2"/>
    <x v="1"/>
    <x v="10"/>
  </r>
  <r>
    <n v="1067"/>
    <d v="2023-06-29T00:00:00"/>
    <s v="2023"/>
    <x v="6"/>
    <s v="Thursday"/>
    <x v="3"/>
    <x v="2"/>
    <x v="264"/>
    <n v="48"/>
    <x v="1"/>
    <n v="4319.32"/>
    <n v="4625.5599999999904"/>
    <x v="0"/>
    <n v="0.1"/>
    <x v="1"/>
    <x v="0"/>
    <x v="6"/>
  </r>
  <r>
    <n v="1019"/>
    <d v="2023-07-17T00:00:00"/>
    <s v="2023"/>
    <x v="11"/>
    <s v="Monday"/>
    <x v="1"/>
    <x v="2"/>
    <x v="265"/>
    <n v="14"/>
    <x v="2"/>
    <n v="1614.19"/>
    <n v="1882.79"/>
    <x v="1"/>
    <n v="0.25"/>
    <x v="2"/>
    <x v="1"/>
    <x v="2"/>
  </r>
  <r>
    <n v="1020"/>
    <d v="2023-12-10T00:00:00"/>
    <s v="2023"/>
    <x v="9"/>
    <s v="Sunday"/>
    <x v="0"/>
    <x v="0"/>
    <x v="266"/>
    <n v="45"/>
    <x v="3"/>
    <n v="4268.45"/>
    <n v="4551.5999999999904"/>
    <x v="1"/>
    <n v="0.08"/>
    <x v="1"/>
    <x v="0"/>
    <x v="0"/>
  </r>
  <r>
    <n v="1096"/>
    <d v="2023-06-10T00:00:00"/>
    <s v="2023"/>
    <x v="6"/>
    <s v="Saturday"/>
    <x v="2"/>
    <x v="2"/>
    <x v="267"/>
    <n v="6"/>
    <x v="0"/>
    <n v="252.62"/>
    <n v="742"/>
    <x v="1"/>
    <n v="0.22"/>
    <x v="2"/>
    <x v="1"/>
    <x v="10"/>
  </r>
  <r>
    <n v="1071"/>
    <d v="2023-06-26T00:00:00"/>
    <s v="2023"/>
    <x v="6"/>
    <s v="Monday"/>
    <x v="1"/>
    <x v="0"/>
    <x v="268"/>
    <n v="35"/>
    <x v="2"/>
    <n v="295.82"/>
    <n v="684.67"/>
    <x v="1"/>
    <n v="0.03"/>
    <x v="2"/>
    <x v="0"/>
    <x v="11"/>
  </r>
  <r>
    <n v="1052"/>
    <d v="2023-10-12T00:00:00"/>
    <s v="2023"/>
    <x v="7"/>
    <s v="Thursday"/>
    <x v="1"/>
    <x v="0"/>
    <x v="269"/>
    <n v="46"/>
    <x v="3"/>
    <n v="3136.42"/>
    <n v="3198.49"/>
    <x v="0"/>
    <n v="0.28999999999999998"/>
    <x v="0"/>
    <x v="1"/>
    <x v="11"/>
  </r>
  <r>
    <n v="1033"/>
    <d v="2023-03-04T00:00:00"/>
    <s v="2023"/>
    <x v="4"/>
    <s v="Saturday"/>
    <x v="0"/>
    <x v="1"/>
    <x v="270"/>
    <n v="14"/>
    <x v="2"/>
    <n v="362.38"/>
    <n v="753.81"/>
    <x v="0"/>
    <n v="0.19"/>
    <x v="0"/>
    <x v="1"/>
    <x v="1"/>
  </r>
  <r>
    <n v="1040"/>
    <d v="2023-05-30T00:00:00"/>
    <s v="2023"/>
    <x v="10"/>
    <s v="Tuesday"/>
    <x v="4"/>
    <x v="2"/>
    <x v="271"/>
    <n v="47"/>
    <x v="2"/>
    <n v="1656.82"/>
    <n v="1750.3799999999901"/>
    <x v="1"/>
    <n v="0.21"/>
    <x v="2"/>
    <x v="0"/>
    <x v="9"/>
  </r>
  <r>
    <n v="1039"/>
    <d v="2023-06-03T00:00:00"/>
    <s v="2023"/>
    <x v="6"/>
    <s v="Saturday"/>
    <x v="0"/>
    <x v="2"/>
    <x v="272"/>
    <n v="8"/>
    <x v="2"/>
    <n v="3380.14"/>
    <n v="3609.3399999999901"/>
    <x v="0"/>
    <n v="0.09"/>
    <x v="2"/>
    <x v="0"/>
    <x v="3"/>
  </r>
  <r>
    <n v="1082"/>
    <d v="2023-06-05T00:00:00"/>
    <s v="2023"/>
    <x v="6"/>
    <s v="Monday"/>
    <x v="2"/>
    <x v="3"/>
    <x v="273"/>
    <n v="15"/>
    <x v="2"/>
    <n v="1719.47"/>
    <n v="1832.6"/>
    <x v="0"/>
    <n v="0.12"/>
    <x v="2"/>
    <x v="0"/>
    <x v="4"/>
  </r>
  <r>
    <n v="1001"/>
    <d v="2023-02-18T00:00:00"/>
    <s v="2023"/>
    <x v="0"/>
    <s v="Saturday"/>
    <x v="1"/>
    <x v="1"/>
    <x v="274"/>
    <n v="27"/>
    <x v="2"/>
    <n v="939.02"/>
    <n v="1286.92"/>
    <x v="0"/>
    <n v="7.0000000000000007E-2"/>
    <x v="2"/>
    <x v="1"/>
    <x v="13"/>
  </r>
  <r>
    <n v="1011"/>
    <d v="2023-12-03T00:00:00"/>
    <s v="2023"/>
    <x v="9"/>
    <s v="Sunday"/>
    <x v="0"/>
    <x v="3"/>
    <x v="275"/>
    <n v="13"/>
    <x v="3"/>
    <n v="1442.69"/>
    <n v="1882.57"/>
    <x v="0"/>
    <n v="0.28000000000000003"/>
    <x v="0"/>
    <x v="0"/>
    <x v="12"/>
  </r>
  <r>
    <n v="1092"/>
    <d v="2023-03-25T00:00:00"/>
    <s v="2023"/>
    <x v="4"/>
    <s v="Saturday"/>
    <x v="4"/>
    <x v="1"/>
    <x v="276"/>
    <n v="49"/>
    <x v="0"/>
    <n v="2315"/>
    <n v="2467.2800000000002"/>
    <x v="1"/>
    <n v="0.15"/>
    <x v="1"/>
    <x v="1"/>
    <x v="17"/>
  </r>
  <r>
    <n v="1057"/>
    <d v="2023-12-27T00:00:00"/>
    <s v="2023"/>
    <x v="9"/>
    <s v="Wednesday"/>
    <x v="0"/>
    <x v="2"/>
    <x v="277"/>
    <n v="31"/>
    <x v="0"/>
    <n v="2403.16"/>
    <n v="2453.35"/>
    <x v="0"/>
    <n v="0.19"/>
    <x v="2"/>
    <x v="0"/>
    <x v="3"/>
  </r>
  <r>
    <n v="1089"/>
    <d v="2023-06-26T00:00:00"/>
    <s v="2023"/>
    <x v="6"/>
    <s v="Monday"/>
    <x v="3"/>
    <x v="0"/>
    <x v="278"/>
    <n v="35"/>
    <x v="0"/>
    <n v="3925.85"/>
    <n v="4082.1099999999901"/>
    <x v="1"/>
    <n v="0.22"/>
    <x v="0"/>
    <x v="0"/>
    <x v="7"/>
  </r>
  <r>
    <n v="1050"/>
    <d v="2023-05-28T00:00:00"/>
    <s v="2023"/>
    <x v="10"/>
    <s v="Sunday"/>
    <x v="4"/>
    <x v="0"/>
    <x v="279"/>
    <n v="6"/>
    <x v="0"/>
    <n v="3763.26"/>
    <n v="4102.72"/>
    <x v="1"/>
    <n v="0.11"/>
    <x v="2"/>
    <x v="1"/>
    <x v="15"/>
  </r>
  <r>
    <n v="1023"/>
    <d v="2023-04-28T00:00:00"/>
    <s v="2023"/>
    <x v="1"/>
    <s v="Friday"/>
    <x v="2"/>
    <x v="0"/>
    <x v="280"/>
    <n v="5"/>
    <x v="3"/>
    <n v="2311.25"/>
    <n v="2482.34"/>
    <x v="0"/>
    <n v="0.22"/>
    <x v="2"/>
    <x v="1"/>
    <x v="19"/>
  </r>
  <r>
    <n v="1031"/>
    <d v="2023-12-08T00:00:00"/>
    <s v="2023"/>
    <x v="9"/>
    <s v="Friday"/>
    <x v="1"/>
    <x v="0"/>
    <x v="281"/>
    <n v="22"/>
    <x v="1"/>
    <n v="4236.05"/>
    <n v="4382.32"/>
    <x v="1"/>
    <n v="0.2"/>
    <x v="1"/>
    <x v="0"/>
    <x v="11"/>
  </r>
  <r>
    <n v="1094"/>
    <d v="2023-03-04T00:00:00"/>
    <s v="2023"/>
    <x v="4"/>
    <s v="Saturday"/>
    <x v="0"/>
    <x v="0"/>
    <x v="282"/>
    <n v="49"/>
    <x v="1"/>
    <n v="615.47"/>
    <n v="715.84"/>
    <x v="0"/>
    <n v="0.21"/>
    <x v="2"/>
    <x v="1"/>
    <x v="0"/>
  </r>
  <r>
    <n v="1042"/>
    <d v="2023-07-08T00:00:00"/>
    <s v="2023"/>
    <x v="11"/>
    <s v="Saturday"/>
    <x v="4"/>
    <x v="3"/>
    <x v="283"/>
    <n v="23"/>
    <x v="3"/>
    <n v="1314"/>
    <n v="1567.78"/>
    <x v="0"/>
    <n v="0.15"/>
    <x v="2"/>
    <x v="1"/>
    <x v="18"/>
  </r>
  <r>
    <n v="1099"/>
    <d v="2023-12-26T00:00:00"/>
    <s v="2023"/>
    <x v="9"/>
    <s v="Tuesday"/>
    <x v="3"/>
    <x v="1"/>
    <x v="284"/>
    <n v="25"/>
    <x v="3"/>
    <n v="4148.4799999999996"/>
    <n v="4293.6899999999996"/>
    <x v="1"/>
    <n v="0.11"/>
    <x v="1"/>
    <x v="0"/>
    <x v="8"/>
  </r>
  <r>
    <n v="1007"/>
    <d v="2023-02-18T00:00:00"/>
    <s v="2023"/>
    <x v="0"/>
    <s v="Saturday"/>
    <x v="4"/>
    <x v="2"/>
    <x v="285"/>
    <n v="34"/>
    <x v="2"/>
    <n v="1921.07"/>
    <n v="2289.27"/>
    <x v="0"/>
    <n v="7.0000000000000007E-2"/>
    <x v="1"/>
    <x v="1"/>
    <x v="9"/>
  </r>
  <r>
    <n v="1016"/>
    <d v="2023-11-23T00:00:00"/>
    <s v="2023"/>
    <x v="8"/>
    <s v="Thursday"/>
    <x v="3"/>
    <x v="3"/>
    <x v="286"/>
    <n v="26"/>
    <x v="2"/>
    <n v="4906.8500000000004"/>
    <n v="4954.3900000000003"/>
    <x v="1"/>
    <n v="0.25"/>
    <x v="1"/>
    <x v="0"/>
    <x v="14"/>
  </r>
  <r>
    <n v="1090"/>
    <d v="2023-09-14T00:00:00"/>
    <s v="2023"/>
    <x v="2"/>
    <s v="Thursday"/>
    <x v="2"/>
    <x v="1"/>
    <x v="287"/>
    <n v="47"/>
    <x v="2"/>
    <n v="2357.9499999999998"/>
    <n v="2693.33"/>
    <x v="1"/>
    <n v="0.18"/>
    <x v="1"/>
    <x v="0"/>
    <x v="5"/>
  </r>
  <r>
    <n v="1060"/>
    <d v="2023-08-12T00:00:00"/>
    <s v="2023"/>
    <x v="3"/>
    <s v="Saturday"/>
    <x v="1"/>
    <x v="0"/>
    <x v="288"/>
    <n v="5"/>
    <x v="0"/>
    <n v="3970.08"/>
    <n v="4096.4799999999996"/>
    <x v="0"/>
    <n v="0.13"/>
    <x v="0"/>
    <x v="1"/>
    <x v="11"/>
  </r>
  <r>
    <n v="1002"/>
    <d v="2023-05-21T00:00:00"/>
    <s v="2023"/>
    <x v="10"/>
    <s v="Sunday"/>
    <x v="2"/>
    <x v="1"/>
    <x v="289"/>
    <n v="26"/>
    <x v="2"/>
    <n v="2041.42"/>
    <n v="2291.17"/>
    <x v="0"/>
    <n v="0.28000000000000003"/>
    <x v="0"/>
    <x v="0"/>
    <x v="5"/>
  </r>
  <r>
    <n v="1001"/>
    <d v="2023-08-03T00:00:00"/>
    <s v="2023"/>
    <x v="3"/>
    <s v="Thursday"/>
    <x v="0"/>
    <x v="1"/>
    <x v="290"/>
    <n v="20"/>
    <x v="1"/>
    <n v="2153.52"/>
    <n v="2303.6999999999998"/>
    <x v="0"/>
    <n v="0.01"/>
    <x v="0"/>
    <x v="1"/>
    <x v="1"/>
  </r>
  <r>
    <n v="1048"/>
    <d v="2023-07-30T00:00:00"/>
    <s v="2023"/>
    <x v="11"/>
    <s v="Sunday"/>
    <x v="4"/>
    <x v="0"/>
    <x v="291"/>
    <n v="6"/>
    <x v="0"/>
    <n v="1945.27"/>
    <n v="2309.4299999999998"/>
    <x v="1"/>
    <n v="0.26"/>
    <x v="2"/>
    <x v="0"/>
    <x v="15"/>
  </r>
  <r>
    <n v="1012"/>
    <d v="2023-11-14T00:00:00"/>
    <s v="2023"/>
    <x v="8"/>
    <s v="Tuesday"/>
    <x v="3"/>
    <x v="0"/>
    <x v="292"/>
    <n v="6"/>
    <x v="2"/>
    <n v="3609.42"/>
    <n v="4082.62"/>
    <x v="0"/>
    <n v="0.3"/>
    <x v="1"/>
    <x v="1"/>
    <x v="7"/>
  </r>
  <r>
    <n v="1069"/>
    <d v="2023-02-01T00:00:00"/>
    <s v="2023"/>
    <x v="0"/>
    <s v="Wednesday"/>
    <x v="3"/>
    <x v="0"/>
    <x v="293"/>
    <n v="18"/>
    <x v="0"/>
    <n v="2760.21"/>
    <n v="3219.58"/>
    <x v="1"/>
    <n v="0.27"/>
    <x v="1"/>
    <x v="1"/>
    <x v="7"/>
  </r>
  <r>
    <n v="1037"/>
    <d v="2023-06-07T00:00:00"/>
    <s v="2023"/>
    <x v="6"/>
    <s v="Wednesday"/>
    <x v="4"/>
    <x v="2"/>
    <x v="294"/>
    <n v="4"/>
    <x v="1"/>
    <n v="4721.7"/>
    <n v="5017.58"/>
    <x v="1"/>
    <n v="0.24"/>
    <x v="0"/>
    <x v="1"/>
    <x v="9"/>
  </r>
  <r>
    <n v="1032"/>
    <d v="2023-10-12T00:00:00"/>
    <s v="2023"/>
    <x v="7"/>
    <s v="Thursday"/>
    <x v="4"/>
    <x v="0"/>
    <x v="295"/>
    <n v="17"/>
    <x v="2"/>
    <n v="1291.9100000000001"/>
    <n v="1528.59"/>
    <x v="0"/>
    <n v="0.11"/>
    <x v="2"/>
    <x v="1"/>
    <x v="15"/>
  </r>
  <r>
    <n v="1009"/>
    <d v="2023-11-01T00:00:00"/>
    <s v="2023"/>
    <x v="8"/>
    <s v="Wednesday"/>
    <x v="0"/>
    <x v="2"/>
    <x v="296"/>
    <n v="14"/>
    <x v="1"/>
    <n v="547.79"/>
    <n v="958.76"/>
    <x v="0"/>
    <n v="7.0000000000000007E-2"/>
    <x v="2"/>
    <x v="1"/>
    <x v="3"/>
  </r>
  <r>
    <n v="1099"/>
    <d v="2023-10-13T00:00:00"/>
    <s v="2023"/>
    <x v="7"/>
    <s v="Friday"/>
    <x v="2"/>
    <x v="0"/>
    <x v="297"/>
    <n v="14"/>
    <x v="1"/>
    <n v="1996.64"/>
    <n v="2341.4699999999998"/>
    <x v="0"/>
    <n v="0.22"/>
    <x v="2"/>
    <x v="0"/>
    <x v="19"/>
  </r>
  <r>
    <n v="1019"/>
    <d v="2023-05-24T00:00:00"/>
    <s v="2023"/>
    <x v="10"/>
    <s v="Wednesday"/>
    <x v="3"/>
    <x v="2"/>
    <x v="298"/>
    <n v="13"/>
    <x v="1"/>
    <n v="3102.73"/>
    <n v="3202.68"/>
    <x v="1"/>
    <n v="0.09"/>
    <x v="0"/>
    <x v="0"/>
    <x v="6"/>
  </r>
  <r>
    <n v="1048"/>
    <d v="2023-01-19T00:00:00"/>
    <s v="2023"/>
    <x v="5"/>
    <s v="Thursday"/>
    <x v="0"/>
    <x v="1"/>
    <x v="299"/>
    <n v="7"/>
    <x v="2"/>
    <n v="4310.95"/>
    <n v="4723.2"/>
    <x v="0"/>
    <n v="0.05"/>
    <x v="2"/>
    <x v="1"/>
    <x v="1"/>
  </r>
  <r>
    <n v="1080"/>
    <d v="2023-01-18T00:00:00"/>
    <s v="2023"/>
    <x v="5"/>
    <s v="Wednesday"/>
    <x v="2"/>
    <x v="3"/>
    <x v="300"/>
    <n v="44"/>
    <x v="3"/>
    <n v="1763.67"/>
    <n v="1983.82"/>
    <x v="1"/>
    <n v="0.24"/>
    <x v="2"/>
    <x v="0"/>
    <x v="4"/>
  </r>
  <r>
    <n v="1003"/>
    <d v="2023-09-14T00:00:00"/>
    <s v="2023"/>
    <x v="2"/>
    <s v="Thursday"/>
    <x v="0"/>
    <x v="1"/>
    <x v="301"/>
    <n v="15"/>
    <x v="2"/>
    <n v="3286.24"/>
    <n v="3388.8399999999901"/>
    <x v="0"/>
    <n v="0.09"/>
    <x v="2"/>
    <x v="1"/>
    <x v="1"/>
  </r>
  <r>
    <n v="1020"/>
    <d v="2023-03-19T00:00:00"/>
    <s v="2023"/>
    <x v="4"/>
    <s v="Sunday"/>
    <x v="3"/>
    <x v="1"/>
    <x v="302"/>
    <n v="19"/>
    <x v="1"/>
    <n v="1783.48"/>
    <n v="1931.56"/>
    <x v="0"/>
    <n v="0.27"/>
    <x v="1"/>
    <x v="1"/>
    <x v="8"/>
  </r>
  <r>
    <n v="1024"/>
    <d v="2023-06-24T00:00:00"/>
    <s v="2023"/>
    <x v="6"/>
    <s v="Saturday"/>
    <x v="4"/>
    <x v="0"/>
    <x v="303"/>
    <n v="43"/>
    <x v="2"/>
    <n v="3105.24"/>
    <n v="3246.33"/>
    <x v="1"/>
    <n v="0.25"/>
    <x v="0"/>
    <x v="0"/>
    <x v="15"/>
  </r>
  <r>
    <n v="1054"/>
    <d v="2023-07-13T00:00:00"/>
    <s v="2023"/>
    <x v="11"/>
    <s v="Thursday"/>
    <x v="4"/>
    <x v="2"/>
    <x v="304"/>
    <n v="47"/>
    <x v="1"/>
    <n v="4429.8"/>
    <n v="4694.21"/>
    <x v="1"/>
    <n v="0.25"/>
    <x v="1"/>
    <x v="0"/>
    <x v="9"/>
  </r>
  <r>
    <n v="1033"/>
    <d v="2023-04-23T00:00:00"/>
    <s v="2023"/>
    <x v="1"/>
    <s v="Sunday"/>
    <x v="2"/>
    <x v="3"/>
    <x v="305"/>
    <n v="44"/>
    <x v="3"/>
    <n v="1195.22"/>
    <n v="1320.06"/>
    <x v="0"/>
    <n v="0.23"/>
    <x v="1"/>
    <x v="1"/>
    <x v="4"/>
  </r>
  <r>
    <n v="1024"/>
    <d v="2023-04-24T00:00:00"/>
    <s v="2023"/>
    <x v="1"/>
    <s v="Monday"/>
    <x v="1"/>
    <x v="0"/>
    <x v="306"/>
    <n v="35"/>
    <x v="0"/>
    <n v="2051"/>
    <n v="2121.5500000000002"/>
    <x v="0"/>
    <n v="0.26"/>
    <x v="0"/>
    <x v="1"/>
    <x v="11"/>
  </r>
  <r>
    <n v="1075"/>
    <d v="2023-08-10T00:00:00"/>
    <s v="2023"/>
    <x v="3"/>
    <s v="Thursday"/>
    <x v="2"/>
    <x v="0"/>
    <x v="307"/>
    <n v="17"/>
    <x v="3"/>
    <n v="4966.66"/>
    <n v="5037.2699999999904"/>
    <x v="0"/>
    <n v="0.24"/>
    <x v="1"/>
    <x v="1"/>
    <x v="19"/>
  </r>
  <r>
    <n v="1072"/>
    <d v="2023-06-15T00:00:00"/>
    <s v="2023"/>
    <x v="6"/>
    <s v="Thursday"/>
    <x v="1"/>
    <x v="0"/>
    <x v="308"/>
    <n v="35"/>
    <x v="3"/>
    <n v="4349.3599999999997"/>
    <n v="4645.17"/>
    <x v="0"/>
    <n v="0.18"/>
    <x v="2"/>
    <x v="1"/>
    <x v="11"/>
  </r>
  <r>
    <n v="1036"/>
    <d v="2023-11-15T00:00:00"/>
    <s v="2023"/>
    <x v="8"/>
    <s v="Wednesday"/>
    <x v="0"/>
    <x v="1"/>
    <x v="309"/>
    <n v="19"/>
    <x v="0"/>
    <n v="2844.97"/>
    <n v="3215"/>
    <x v="0"/>
    <n v="0.09"/>
    <x v="2"/>
    <x v="1"/>
    <x v="1"/>
  </r>
  <r>
    <n v="1038"/>
    <d v="2023-05-12T00:00:00"/>
    <s v="2023"/>
    <x v="10"/>
    <s v="Friday"/>
    <x v="0"/>
    <x v="2"/>
    <x v="310"/>
    <n v="20"/>
    <x v="2"/>
    <n v="2607.31"/>
    <n v="2774.86"/>
    <x v="1"/>
    <n v="0.27"/>
    <x v="2"/>
    <x v="1"/>
    <x v="3"/>
  </r>
  <r>
    <n v="1084"/>
    <d v="2023-09-21T00:00:00"/>
    <s v="2023"/>
    <x v="2"/>
    <s v="Thursday"/>
    <x v="3"/>
    <x v="2"/>
    <x v="311"/>
    <n v="36"/>
    <x v="0"/>
    <n v="1458.77"/>
    <n v="1485.75"/>
    <x v="1"/>
    <n v="0.25"/>
    <x v="2"/>
    <x v="0"/>
    <x v="6"/>
  </r>
  <r>
    <n v="1099"/>
    <d v="2023-02-24T00:00:00"/>
    <s v="2023"/>
    <x v="0"/>
    <s v="Friday"/>
    <x v="1"/>
    <x v="3"/>
    <x v="312"/>
    <n v="35"/>
    <x v="2"/>
    <n v="2610.19"/>
    <n v="2682.53"/>
    <x v="1"/>
    <n v="0.14000000000000001"/>
    <x v="0"/>
    <x v="1"/>
    <x v="16"/>
  </r>
  <r>
    <n v="1089"/>
    <d v="2023-12-25T00:00:00"/>
    <s v="2023"/>
    <x v="9"/>
    <s v="Monday"/>
    <x v="3"/>
    <x v="2"/>
    <x v="313"/>
    <n v="32"/>
    <x v="2"/>
    <n v="4248.5"/>
    <n v="4706.7"/>
    <x v="1"/>
    <n v="0.01"/>
    <x v="1"/>
    <x v="1"/>
    <x v="6"/>
  </r>
  <r>
    <n v="1099"/>
    <d v="2023-05-11T00:00:00"/>
    <s v="2023"/>
    <x v="10"/>
    <s v="Thursday"/>
    <x v="4"/>
    <x v="2"/>
    <x v="314"/>
    <n v="48"/>
    <x v="1"/>
    <n v="3441.61"/>
    <n v="3693.45"/>
    <x v="0"/>
    <n v="0.19"/>
    <x v="1"/>
    <x v="0"/>
    <x v="9"/>
  </r>
  <r>
    <n v="1025"/>
    <d v="2023-10-15T00:00:00"/>
    <s v="2023"/>
    <x v="7"/>
    <s v="Sunday"/>
    <x v="1"/>
    <x v="0"/>
    <x v="315"/>
    <n v="44"/>
    <x v="1"/>
    <n v="1485.72"/>
    <n v="1717.97"/>
    <x v="1"/>
    <n v="0.02"/>
    <x v="2"/>
    <x v="1"/>
    <x v="11"/>
  </r>
  <r>
    <n v="1093"/>
    <d v="2023-09-23T00:00:00"/>
    <s v="2023"/>
    <x v="2"/>
    <s v="Saturday"/>
    <x v="2"/>
    <x v="0"/>
    <x v="316"/>
    <n v="40"/>
    <x v="0"/>
    <n v="1047.25"/>
    <n v="1075.8900000000001"/>
    <x v="1"/>
    <n v="0.28000000000000003"/>
    <x v="2"/>
    <x v="1"/>
    <x v="19"/>
  </r>
  <r>
    <n v="1018"/>
    <d v="2024-01-01T00:00:00"/>
    <s v="2024"/>
    <x v="5"/>
    <s v="Monday"/>
    <x v="4"/>
    <x v="1"/>
    <x v="317"/>
    <n v="24"/>
    <x v="3"/>
    <n v="1362.78"/>
    <n v="1729.81"/>
    <x v="1"/>
    <n v="0.28999999999999998"/>
    <x v="1"/>
    <x v="0"/>
    <x v="17"/>
  </r>
  <r>
    <n v="1082"/>
    <d v="2023-06-11T00:00:00"/>
    <s v="2023"/>
    <x v="6"/>
    <s v="Sunday"/>
    <x v="4"/>
    <x v="0"/>
    <x v="318"/>
    <n v="17"/>
    <x v="0"/>
    <n v="890.31"/>
    <n v="1159.06"/>
    <x v="0"/>
    <n v="0.06"/>
    <x v="0"/>
    <x v="1"/>
    <x v="15"/>
  </r>
  <r>
    <n v="1066"/>
    <d v="2023-03-28T00:00:00"/>
    <s v="2023"/>
    <x v="4"/>
    <s v="Tuesday"/>
    <x v="2"/>
    <x v="0"/>
    <x v="319"/>
    <n v="7"/>
    <x v="2"/>
    <n v="523.41999999999996"/>
    <n v="632.43999999999903"/>
    <x v="1"/>
    <n v="0.2"/>
    <x v="1"/>
    <x v="0"/>
    <x v="19"/>
  </r>
  <r>
    <n v="1054"/>
    <d v="2023-02-24T00:00:00"/>
    <s v="2023"/>
    <x v="0"/>
    <s v="Friday"/>
    <x v="4"/>
    <x v="0"/>
    <x v="320"/>
    <n v="43"/>
    <x v="1"/>
    <n v="2124.7199999999998"/>
    <n v="2188.66"/>
    <x v="0"/>
    <n v="0.03"/>
    <x v="2"/>
    <x v="1"/>
    <x v="15"/>
  </r>
  <r>
    <n v="1035"/>
    <d v="2023-10-15T00:00:00"/>
    <s v="2023"/>
    <x v="7"/>
    <s v="Sunday"/>
    <x v="1"/>
    <x v="0"/>
    <x v="321"/>
    <n v="1"/>
    <x v="0"/>
    <n v="610.83000000000004"/>
    <n v="808.69"/>
    <x v="1"/>
    <n v="0.22"/>
    <x v="2"/>
    <x v="0"/>
    <x v="11"/>
  </r>
  <r>
    <n v="1080"/>
    <d v="2023-06-27T00:00:00"/>
    <s v="2023"/>
    <x v="6"/>
    <s v="Tuesday"/>
    <x v="3"/>
    <x v="1"/>
    <x v="322"/>
    <n v="35"/>
    <x v="0"/>
    <n v="900.97"/>
    <n v="1321.18"/>
    <x v="0"/>
    <n v="0.1"/>
    <x v="0"/>
    <x v="0"/>
    <x v="8"/>
  </r>
  <r>
    <n v="1061"/>
    <d v="2023-12-15T00:00:00"/>
    <s v="2023"/>
    <x v="9"/>
    <s v="Friday"/>
    <x v="4"/>
    <x v="0"/>
    <x v="323"/>
    <n v="32"/>
    <x v="1"/>
    <n v="2759.26"/>
    <n v="3193.25"/>
    <x v="1"/>
    <n v="0.2"/>
    <x v="1"/>
    <x v="0"/>
    <x v="15"/>
  </r>
  <r>
    <n v="1041"/>
    <d v="2023-01-08T00:00:00"/>
    <s v="2023"/>
    <x v="5"/>
    <s v="Sunday"/>
    <x v="1"/>
    <x v="3"/>
    <x v="324"/>
    <n v="36"/>
    <x v="1"/>
    <n v="864.77"/>
    <n v="1170.1599999999901"/>
    <x v="0"/>
    <n v="0.11"/>
    <x v="0"/>
    <x v="1"/>
    <x v="16"/>
  </r>
  <r>
    <n v="1100"/>
    <d v="2023-11-17T00:00:00"/>
    <s v="2023"/>
    <x v="8"/>
    <s v="Friday"/>
    <x v="0"/>
    <x v="3"/>
    <x v="325"/>
    <n v="13"/>
    <x v="1"/>
    <n v="366.2"/>
    <n v="732.69"/>
    <x v="1"/>
    <n v="0.04"/>
    <x v="0"/>
    <x v="1"/>
    <x v="12"/>
  </r>
  <r>
    <n v="1033"/>
    <d v="2023-11-09T00:00:00"/>
    <s v="2023"/>
    <x v="8"/>
    <s v="Thursday"/>
    <x v="1"/>
    <x v="3"/>
    <x v="326"/>
    <n v="6"/>
    <x v="2"/>
    <n v="1621.07"/>
    <n v="1687.5"/>
    <x v="0"/>
    <n v="0.12"/>
    <x v="2"/>
    <x v="0"/>
    <x v="16"/>
  </r>
  <r>
    <n v="1068"/>
    <d v="2023-09-04T00:00:00"/>
    <s v="2023"/>
    <x v="2"/>
    <s v="Monday"/>
    <x v="3"/>
    <x v="3"/>
    <x v="327"/>
    <n v="14"/>
    <x v="1"/>
    <n v="1140.58"/>
    <n v="1438.76"/>
    <x v="0"/>
    <n v="0.03"/>
    <x v="1"/>
    <x v="0"/>
    <x v="14"/>
  </r>
  <r>
    <n v="1033"/>
    <d v="2023-11-19T00:00:00"/>
    <s v="2023"/>
    <x v="8"/>
    <s v="Sunday"/>
    <x v="1"/>
    <x v="0"/>
    <x v="328"/>
    <n v="37"/>
    <x v="3"/>
    <n v="2600.7600000000002"/>
    <n v="2937.57"/>
    <x v="1"/>
    <n v="0.17"/>
    <x v="2"/>
    <x v="1"/>
    <x v="11"/>
  </r>
  <r>
    <n v="1014"/>
    <d v="2023-09-12T00:00:00"/>
    <s v="2023"/>
    <x v="2"/>
    <s v="Tuesday"/>
    <x v="2"/>
    <x v="3"/>
    <x v="329"/>
    <n v="48"/>
    <x v="0"/>
    <n v="556.72"/>
    <n v="665.07"/>
    <x v="0"/>
    <n v="0.01"/>
    <x v="1"/>
    <x v="1"/>
    <x v="4"/>
  </r>
  <r>
    <n v="1021"/>
    <d v="2023-11-24T00:00:00"/>
    <s v="2023"/>
    <x v="8"/>
    <s v="Friday"/>
    <x v="3"/>
    <x v="0"/>
    <x v="330"/>
    <n v="15"/>
    <x v="1"/>
    <n v="3771.27"/>
    <n v="4212.55"/>
    <x v="0"/>
    <n v="0.16"/>
    <x v="2"/>
    <x v="1"/>
    <x v="7"/>
  </r>
  <r>
    <n v="1048"/>
    <d v="2023-02-23T00:00:00"/>
    <s v="2023"/>
    <x v="0"/>
    <s v="Thursday"/>
    <x v="0"/>
    <x v="1"/>
    <x v="331"/>
    <n v="47"/>
    <x v="1"/>
    <n v="4535.8599999999997"/>
    <n v="4641.41"/>
    <x v="1"/>
    <n v="0.27"/>
    <x v="2"/>
    <x v="1"/>
    <x v="1"/>
  </r>
  <r>
    <n v="1020"/>
    <d v="2023-09-06T00:00:00"/>
    <s v="2023"/>
    <x v="2"/>
    <s v="Wednesday"/>
    <x v="2"/>
    <x v="3"/>
    <x v="332"/>
    <n v="4"/>
    <x v="2"/>
    <n v="3730"/>
    <n v="3893.6"/>
    <x v="1"/>
    <n v="0.25"/>
    <x v="1"/>
    <x v="1"/>
    <x v="4"/>
  </r>
  <r>
    <n v="1008"/>
    <d v="2023-08-27T00:00:00"/>
    <s v="2023"/>
    <x v="3"/>
    <s v="Sunday"/>
    <x v="1"/>
    <x v="2"/>
    <x v="333"/>
    <n v="40"/>
    <x v="2"/>
    <n v="2687.49"/>
    <n v="3001.56"/>
    <x v="0"/>
    <n v="0.26"/>
    <x v="1"/>
    <x v="0"/>
    <x v="2"/>
  </r>
  <r>
    <n v="1007"/>
    <d v="2023-08-17T00:00:00"/>
    <s v="2023"/>
    <x v="3"/>
    <s v="Thursday"/>
    <x v="3"/>
    <x v="3"/>
    <x v="334"/>
    <n v="16"/>
    <x v="0"/>
    <n v="4310.3100000000004"/>
    <n v="4633.1000000000004"/>
    <x v="1"/>
    <n v="0.28000000000000003"/>
    <x v="2"/>
    <x v="1"/>
    <x v="14"/>
  </r>
  <r>
    <n v="1067"/>
    <d v="2023-03-08T00:00:00"/>
    <s v="2023"/>
    <x v="4"/>
    <s v="Wednesday"/>
    <x v="0"/>
    <x v="3"/>
    <x v="335"/>
    <n v="28"/>
    <x v="3"/>
    <n v="3489.85"/>
    <n v="3842.5499999999902"/>
    <x v="1"/>
    <n v="0.03"/>
    <x v="1"/>
    <x v="0"/>
    <x v="12"/>
  </r>
  <r>
    <n v="1017"/>
    <d v="2023-02-20T00:00:00"/>
    <s v="2023"/>
    <x v="0"/>
    <s v="Monday"/>
    <x v="2"/>
    <x v="0"/>
    <x v="336"/>
    <n v="16"/>
    <x v="0"/>
    <n v="102.23"/>
    <n v="167.12"/>
    <x v="1"/>
    <n v="0.04"/>
    <x v="2"/>
    <x v="1"/>
    <x v="19"/>
  </r>
  <r>
    <n v="1033"/>
    <d v="2023-04-07T00:00:00"/>
    <s v="2023"/>
    <x v="1"/>
    <s v="Friday"/>
    <x v="0"/>
    <x v="3"/>
    <x v="337"/>
    <n v="4"/>
    <x v="1"/>
    <n v="2000.75"/>
    <n v="2426.9899999999998"/>
    <x v="0"/>
    <n v="0.17"/>
    <x v="1"/>
    <x v="0"/>
    <x v="12"/>
  </r>
  <r>
    <n v="1048"/>
    <d v="2023-04-02T00:00:00"/>
    <s v="2023"/>
    <x v="1"/>
    <s v="Sunday"/>
    <x v="1"/>
    <x v="2"/>
    <x v="338"/>
    <n v="45"/>
    <x v="3"/>
    <n v="4262.21"/>
    <n v="4533.3100000000004"/>
    <x v="0"/>
    <n v="0.27"/>
    <x v="2"/>
    <x v="0"/>
    <x v="2"/>
  </r>
  <r>
    <n v="1076"/>
    <d v="2023-09-21T00:00:00"/>
    <s v="2023"/>
    <x v="2"/>
    <s v="Thursday"/>
    <x v="0"/>
    <x v="0"/>
    <x v="339"/>
    <n v="26"/>
    <x v="3"/>
    <n v="1762"/>
    <n v="2002.95"/>
    <x v="0"/>
    <n v="0.28999999999999998"/>
    <x v="2"/>
    <x v="1"/>
    <x v="0"/>
  </r>
  <r>
    <n v="1059"/>
    <d v="2023-10-18T00:00:00"/>
    <s v="2023"/>
    <x v="7"/>
    <s v="Wednesday"/>
    <x v="4"/>
    <x v="0"/>
    <x v="340"/>
    <n v="28"/>
    <x v="3"/>
    <n v="224.32"/>
    <n v="715.06"/>
    <x v="0"/>
    <n v="0.01"/>
    <x v="2"/>
    <x v="0"/>
    <x v="15"/>
  </r>
  <r>
    <n v="1086"/>
    <d v="2023-04-06T00:00:00"/>
    <s v="2023"/>
    <x v="1"/>
    <s v="Thursday"/>
    <x v="2"/>
    <x v="1"/>
    <x v="341"/>
    <n v="32"/>
    <x v="3"/>
    <n v="3743.59"/>
    <n v="4116.38"/>
    <x v="0"/>
    <n v="0.11"/>
    <x v="0"/>
    <x v="0"/>
    <x v="5"/>
  </r>
  <r>
    <n v="1022"/>
    <d v="2023-03-29T00:00:00"/>
    <s v="2023"/>
    <x v="4"/>
    <s v="Wednesday"/>
    <x v="0"/>
    <x v="1"/>
    <x v="342"/>
    <n v="45"/>
    <x v="0"/>
    <n v="4020.09"/>
    <n v="4087.91"/>
    <x v="0"/>
    <n v="0.06"/>
    <x v="1"/>
    <x v="0"/>
    <x v="1"/>
  </r>
  <r>
    <n v="1030"/>
    <d v="2023-03-19T00:00:00"/>
    <s v="2023"/>
    <x v="4"/>
    <s v="Sunday"/>
    <x v="1"/>
    <x v="3"/>
    <x v="343"/>
    <n v="2"/>
    <x v="2"/>
    <n v="844.94"/>
    <n v="1225.6400000000001"/>
    <x v="0"/>
    <n v="0.23"/>
    <x v="2"/>
    <x v="0"/>
    <x v="16"/>
  </r>
  <r>
    <n v="1038"/>
    <d v="2023-10-15T00:00:00"/>
    <s v="2023"/>
    <x v="7"/>
    <s v="Sunday"/>
    <x v="1"/>
    <x v="1"/>
    <x v="344"/>
    <n v="31"/>
    <x v="2"/>
    <n v="2709.84"/>
    <n v="2766.51"/>
    <x v="1"/>
    <n v="0.19"/>
    <x v="0"/>
    <x v="1"/>
    <x v="13"/>
  </r>
  <r>
    <n v="1051"/>
    <d v="2023-04-30T00:00:00"/>
    <s v="2023"/>
    <x v="1"/>
    <s v="Sunday"/>
    <x v="0"/>
    <x v="1"/>
    <x v="345"/>
    <n v="3"/>
    <x v="1"/>
    <n v="1000.18"/>
    <n v="1023.64"/>
    <x v="0"/>
    <n v="0.04"/>
    <x v="2"/>
    <x v="0"/>
    <x v="1"/>
  </r>
  <r>
    <n v="1054"/>
    <d v="2023-10-29T00:00:00"/>
    <s v="2023"/>
    <x v="7"/>
    <s v="Sunday"/>
    <x v="1"/>
    <x v="1"/>
    <x v="346"/>
    <n v="8"/>
    <x v="2"/>
    <n v="3610.21"/>
    <n v="3817.99"/>
    <x v="0"/>
    <n v="0.15"/>
    <x v="0"/>
    <x v="1"/>
    <x v="13"/>
  </r>
  <r>
    <n v="1008"/>
    <d v="2023-06-14T00:00:00"/>
    <s v="2023"/>
    <x v="6"/>
    <s v="Wednesday"/>
    <x v="3"/>
    <x v="0"/>
    <x v="347"/>
    <n v="24"/>
    <x v="2"/>
    <n v="1394.17"/>
    <n v="1891.02"/>
    <x v="1"/>
    <n v="0.21"/>
    <x v="2"/>
    <x v="0"/>
    <x v="7"/>
  </r>
  <r>
    <n v="1027"/>
    <d v="2023-07-01T00:00:00"/>
    <s v="2023"/>
    <x v="11"/>
    <s v="Saturday"/>
    <x v="3"/>
    <x v="0"/>
    <x v="348"/>
    <n v="15"/>
    <x v="2"/>
    <n v="1615.26"/>
    <n v="1710.95"/>
    <x v="1"/>
    <n v="0.23"/>
    <x v="2"/>
    <x v="1"/>
    <x v="7"/>
  </r>
  <r>
    <n v="1027"/>
    <d v="2023-08-11T00:00:00"/>
    <s v="2023"/>
    <x v="3"/>
    <s v="Friday"/>
    <x v="3"/>
    <x v="0"/>
    <x v="349"/>
    <n v="43"/>
    <x v="2"/>
    <n v="4232.6099999999997"/>
    <n v="4572.21"/>
    <x v="1"/>
    <n v="0.01"/>
    <x v="0"/>
    <x v="1"/>
    <x v="7"/>
  </r>
  <r>
    <n v="1098"/>
    <d v="2023-11-07T00:00:00"/>
    <s v="2023"/>
    <x v="8"/>
    <s v="Tuesday"/>
    <x v="4"/>
    <x v="1"/>
    <x v="350"/>
    <n v="31"/>
    <x v="1"/>
    <n v="2407.8000000000002"/>
    <n v="2502.7600000000002"/>
    <x v="0"/>
    <n v="0.27"/>
    <x v="0"/>
    <x v="1"/>
    <x v="17"/>
  </r>
  <r>
    <n v="1021"/>
    <d v="2023-01-07T00:00:00"/>
    <s v="2023"/>
    <x v="5"/>
    <s v="Saturday"/>
    <x v="0"/>
    <x v="0"/>
    <x v="351"/>
    <n v="9"/>
    <x v="0"/>
    <n v="3365.28"/>
    <n v="3730.43"/>
    <x v="1"/>
    <n v="0.17"/>
    <x v="1"/>
    <x v="0"/>
    <x v="0"/>
  </r>
  <r>
    <n v="1030"/>
    <d v="2023-11-26T00:00:00"/>
    <s v="2023"/>
    <x v="8"/>
    <s v="Sunday"/>
    <x v="4"/>
    <x v="1"/>
    <x v="352"/>
    <n v="39"/>
    <x v="3"/>
    <n v="2041.75"/>
    <n v="2299.37"/>
    <x v="0"/>
    <n v="0.24"/>
    <x v="1"/>
    <x v="1"/>
    <x v="17"/>
  </r>
  <r>
    <n v="1097"/>
    <d v="2023-09-20T00:00:00"/>
    <s v="2023"/>
    <x v="2"/>
    <s v="Wednesday"/>
    <x v="1"/>
    <x v="0"/>
    <x v="353"/>
    <n v="45"/>
    <x v="2"/>
    <n v="1525.13"/>
    <n v="1868.32"/>
    <x v="0"/>
    <n v="0.24"/>
    <x v="0"/>
    <x v="1"/>
    <x v="11"/>
  </r>
  <r>
    <n v="1028"/>
    <d v="2023-06-10T00:00:00"/>
    <s v="2023"/>
    <x v="6"/>
    <s v="Saturday"/>
    <x v="4"/>
    <x v="0"/>
    <x v="354"/>
    <n v="2"/>
    <x v="0"/>
    <n v="3146.12"/>
    <n v="3255.5299999999902"/>
    <x v="0"/>
    <n v="0.06"/>
    <x v="1"/>
    <x v="0"/>
    <x v="15"/>
  </r>
  <r>
    <n v="1064"/>
    <d v="2023-05-31T00:00:00"/>
    <s v="2023"/>
    <x v="10"/>
    <s v="Wednesday"/>
    <x v="1"/>
    <x v="2"/>
    <x v="355"/>
    <n v="8"/>
    <x v="2"/>
    <n v="816.54"/>
    <n v="1191.9000000000001"/>
    <x v="1"/>
    <n v="0.03"/>
    <x v="0"/>
    <x v="1"/>
    <x v="2"/>
  </r>
  <r>
    <n v="1097"/>
    <d v="2023-03-26T00:00:00"/>
    <s v="2023"/>
    <x v="4"/>
    <s v="Sunday"/>
    <x v="1"/>
    <x v="3"/>
    <x v="356"/>
    <n v="7"/>
    <x v="2"/>
    <n v="1896.35"/>
    <n v="2394.1999999999998"/>
    <x v="1"/>
    <n v="0.22"/>
    <x v="1"/>
    <x v="0"/>
    <x v="16"/>
  </r>
  <r>
    <n v="1069"/>
    <d v="2023-05-27T00:00:00"/>
    <s v="2023"/>
    <x v="10"/>
    <s v="Saturday"/>
    <x v="2"/>
    <x v="1"/>
    <x v="357"/>
    <n v="44"/>
    <x v="3"/>
    <n v="1084.73"/>
    <n v="1420.9"/>
    <x v="0"/>
    <n v="0.05"/>
    <x v="2"/>
    <x v="0"/>
    <x v="5"/>
  </r>
  <r>
    <n v="1061"/>
    <d v="2023-04-22T00:00:00"/>
    <s v="2023"/>
    <x v="1"/>
    <s v="Saturday"/>
    <x v="3"/>
    <x v="2"/>
    <x v="358"/>
    <n v="39"/>
    <x v="3"/>
    <n v="3494.19"/>
    <n v="3746"/>
    <x v="0"/>
    <n v="0.25"/>
    <x v="1"/>
    <x v="1"/>
    <x v="6"/>
  </r>
  <r>
    <n v="1048"/>
    <d v="2023-02-05T00:00:00"/>
    <s v="2023"/>
    <x v="0"/>
    <s v="Sunday"/>
    <x v="1"/>
    <x v="0"/>
    <x v="359"/>
    <n v="42"/>
    <x v="3"/>
    <n v="4723.83"/>
    <n v="5186.1899999999996"/>
    <x v="0"/>
    <n v="0.22"/>
    <x v="2"/>
    <x v="0"/>
    <x v="11"/>
  </r>
  <r>
    <n v="1019"/>
    <d v="2023-10-12T00:00:00"/>
    <s v="2023"/>
    <x v="7"/>
    <s v="Thursday"/>
    <x v="2"/>
    <x v="1"/>
    <x v="360"/>
    <n v="16"/>
    <x v="2"/>
    <n v="4977.78"/>
    <n v="4995.55"/>
    <x v="1"/>
    <n v="0.25"/>
    <x v="2"/>
    <x v="0"/>
    <x v="5"/>
  </r>
  <r>
    <n v="1004"/>
    <d v="2023-07-07T00:00:00"/>
    <s v="2023"/>
    <x v="11"/>
    <s v="Friday"/>
    <x v="3"/>
    <x v="0"/>
    <x v="361"/>
    <n v="35"/>
    <x v="2"/>
    <n v="2278.87"/>
    <n v="2646.5299999999902"/>
    <x v="0"/>
    <n v="0.09"/>
    <x v="1"/>
    <x v="0"/>
    <x v="7"/>
  </r>
  <r>
    <n v="1035"/>
    <d v="2023-03-23T00:00:00"/>
    <s v="2023"/>
    <x v="4"/>
    <s v="Thursday"/>
    <x v="1"/>
    <x v="3"/>
    <x v="362"/>
    <n v="30"/>
    <x v="2"/>
    <n v="1300.03"/>
    <n v="1745.52"/>
    <x v="1"/>
    <n v="0.09"/>
    <x v="0"/>
    <x v="1"/>
    <x v="16"/>
  </r>
  <r>
    <n v="1064"/>
    <d v="2023-01-02T00:00:00"/>
    <s v="2023"/>
    <x v="5"/>
    <s v="Monday"/>
    <x v="1"/>
    <x v="2"/>
    <x v="363"/>
    <n v="10"/>
    <x v="3"/>
    <n v="2242.0100000000002"/>
    <n v="2282.23"/>
    <x v="0"/>
    <n v="0.2"/>
    <x v="2"/>
    <x v="0"/>
    <x v="2"/>
  </r>
  <r>
    <n v="1049"/>
    <d v="2023-10-30T00:00:00"/>
    <s v="2023"/>
    <x v="7"/>
    <s v="Monday"/>
    <x v="4"/>
    <x v="3"/>
    <x v="364"/>
    <n v="38"/>
    <x v="1"/>
    <n v="4243.9799999999996"/>
    <n v="4474.5099999999902"/>
    <x v="1"/>
    <n v="0.01"/>
    <x v="2"/>
    <x v="0"/>
    <x v="18"/>
  </r>
  <r>
    <n v="1017"/>
    <d v="2023-07-16T00:00:00"/>
    <s v="2023"/>
    <x v="11"/>
    <s v="Sunday"/>
    <x v="4"/>
    <x v="2"/>
    <x v="365"/>
    <n v="18"/>
    <x v="0"/>
    <n v="1069.73"/>
    <n v="1180.04"/>
    <x v="0"/>
    <n v="0.22"/>
    <x v="1"/>
    <x v="0"/>
    <x v="9"/>
  </r>
  <r>
    <n v="1044"/>
    <d v="2023-01-11T00:00:00"/>
    <s v="2023"/>
    <x v="5"/>
    <s v="Wednesday"/>
    <x v="3"/>
    <x v="0"/>
    <x v="366"/>
    <n v="5"/>
    <x v="1"/>
    <n v="4762.87"/>
    <n v="5050.46"/>
    <x v="1"/>
    <n v="0.25"/>
    <x v="0"/>
    <x v="1"/>
    <x v="7"/>
  </r>
  <r>
    <n v="1092"/>
    <d v="2023-08-22T00:00:00"/>
    <s v="2023"/>
    <x v="3"/>
    <s v="Tuesday"/>
    <x v="1"/>
    <x v="3"/>
    <x v="367"/>
    <n v="29"/>
    <x v="2"/>
    <n v="1742.24"/>
    <n v="2070.52"/>
    <x v="1"/>
    <n v="0.12"/>
    <x v="0"/>
    <x v="0"/>
    <x v="16"/>
  </r>
  <r>
    <n v="1030"/>
    <d v="2023-07-14T00:00:00"/>
    <s v="2023"/>
    <x v="11"/>
    <s v="Friday"/>
    <x v="0"/>
    <x v="3"/>
    <x v="368"/>
    <n v="39"/>
    <x v="2"/>
    <n v="4929.7299999999996"/>
    <n v="5088.0199999999904"/>
    <x v="1"/>
    <n v="0.23"/>
    <x v="1"/>
    <x v="1"/>
    <x v="12"/>
  </r>
  <r>
    <n v="1093"/>
    <d v="2023-04-29T00:00:00"/>
    <s v="2023"/>
    <x v="1"/>
    <s v="Saturday"/>
    <x v="4"/>
    <x v="0"/>
    <x v="369"/>
    <n v="34"/>
    <x v="1"/>
    <n v="4201.1099999999997"/>
    <n v="4436.5"/>
    <x v="1"/>
    <n v="0.05"/>
    <x v="0"/>
    <x v="0"/>
    <x v="15"/>
  </r>
  <r>
    <n v="1046"/>
    <d v="2023-01-20T00:00:00"/>
    <s v="2023"/>
    <x v="5"/>
    <s v="Friday"/>
    <x v="3"/>
    <x v="3"/>
    <x v="370"/>
    <n v="43"/>
    <x v="2"/>
    <n v="4052.42"/>
    <n v="4199.3"/>
    <x v="1"/>
    <n v="0.1"/>
    <x v="1"/>
    <x v="1"/>
    <x v="14"/>
  </r>
  <r>
    <n v="1006"/>
    <d v="2023-09-18T00:00:00"/>
    <s v="2023"/>
    <x v="2"/>
    <s v="Monday"/>
    <x v="1"/>
    <x v="1"/>
    <x v="371"/>
    <n v="45"/>
    <x v="0"/>
    <n v="1623.63"/>
    <n v="1814.63"/>
    <x v="1"/>
    <n v="0.28999999999999998"/>
    <x v="1"/>
    <x v="1"/>
    <x v="13"/>
  </r>
  <r>
    <n v="1099"/>
    <d v="2023-10-20T00:00:00"/>
    <s v="2023"/>
    <x v="7"/>
    <s v="Friday"/>
    <x v="1"/>
    <x v="2"/>
    <x v="372"/>
    <n v="23"/>
    <x v="2"/>
    <n v="93.45"/>
    <n v="181.62"/>
    <x v="0"/>
    <n v="0.3"/>
    <x v="1"/>
    <x v="1"/>
    <x v="2"/>
  </r>
  <r>
    <n v="1037"/>
    <d v="2023-09-13T00:00:00"/>
    <s v="2023"/>
    <x v="2"/>
    <s v="Wednesday"/>
    <x v="0"/>
    <x v="2"/>
    <x v="373"/>
    <n v="5"/>
    <x v="0"/>
    <n v="1941.56"/>
    <n v="2385.48"/>
    <x v="0"/>
    <n v="0.15"/>
    <x v="2"/>
    <x v="0"/>
    <x v="3"/>
  </r>
  <r>
    <n v="1024"/>
    <d v="2023-08-10T00:00:00"/>
    <s v="2023"/>
    <x v="3"/>
    <s v="Thursday"/>
    <x v="3"/>
    <x v="2"/>
    <x v="374"/>
    <n v="30"/>
    <x v="1"/>
    <n v="1543.96"/>
    <n v="1558.87"/>
    <x v="0"/>
    <n v="0.28000000000000003"/>
    <x v="2"/>
    <x v="0"/>
    <x v="6"/>
  </r>
  <r>
    <n v="1093"/>
    <d v="2023-08-14T00:00:00"/>
    <s v="2023"/>
    <x v="3"/>
    <s v="Monday"/>
    <x v="1"/>
    <x v="1"/>
    <x v="375"/>
    <n v="6"/>
    <x v="1"/>
    <n v="235.12"/>
    <n v="677.5"/>
    <x v="0"/>
    <n v="0.16"/>
    <x v="2"/>
    <x v="0"/>
    <x v="13"/>
  </r>
  <r>
    <n v="1046"/>
    <d v="2023-02-22T00:00:00"/>
    <s v="2023"/>
    <x v="0"/>
    <s v="Wednesday"/>
    <x v="4"/>
    <x v="2"/>
    <x v="376"/>
    <n v="46"/>
    <x v="2"/>
    <n v="2551.56"/>
    <n v="2841.68"/>
    <x v="1"/>
    <n v="0.09"/>
    <x v="1"/>
    <x v="1"/>
    <x v="9"/>
  </r>
  <r>
    <n v="1053"/>
    <d v="2023-12-21T00:00:00"/>
    <s v="2023"/>
    <x v="9"/>
    <s v="Thursday"/>
    <x v="0"/>
    <x v="0"/>
    <x v="377"/>
    <n v="44"/>
    <x v="0"/>
    <n v="2045"/>
    <n v="2217.5100000000002"/>
    <x v="0"/>
    <n v="0.08"/>
    <x v="2"/>
    <x v="0"/>
    <x v="0"/>
  </r>
  <r>
    <n v="1095"/>
    <d v="2023-12-08T00:00:00"/>
    <s v="2023"/>
    <x v="9"/>
    <s v="Friday"/>
    <x v="3"/>
    <x v="3"/>
    <x v="378"/>
    <n v="4"/>
    <x v="2"/>
    <n v="3191.05"/>
    <n v="3555.35"/>
    <x v="1"/>
    <n v="0.28000000000000003"/>
    <x v="2"/>
    <x v="0"/>
    <x v="14"/>
  </r>
  <r>
    <n v="1099"/>
    <d v="2023-12-30T00:00:00"/>
    <s v="2023"/>
    <x v="9"/>
    <s v="Saturday"/>
    <x v="0"/>
    <x v="1"/>
    <x v="379"/>
    <n v="29"/>
    <x v="3"/>
    <n v="3124.87"/>
    <n v="3383.67"/>
    <x v="1"/>
    <n v="0.05"/>
    <x v="2"/>
    <x v="1"/>
    <x v="1"/>
  </r>
  <r>
    <n v="1060"/>
    <d v="2023-10-07T00:00:00"/>
    <s v="2023"/>
    <x v="7"/>
    <s v="Saturday"/>
    <x v="4"/>
    <x v="2"/>
    <x v="380"/>
    <n v="23"/>
    <x v="3"/>
    <n v="647.70000000000005"/>
    <n v="902.26"/>
    <x v="1"/>
    <n v="0.17"/>
    <x v="1"/>
    <x v="0"/>
    <x v="9"/>
  </r>
  <r>
    <n v="1097"/>
    <d v="2023-03-22T00:00:00"/>
    <s v="2023"/>
    <x v="4"/>
    <s v="Wednesday"/>
    <x v="3"/>
    <x v="0"/>
    <x v="381"/>
    <n v="6"/>
    <x v="3"/>
    <n v="4885.9799999999996"/>
    <n v="4949.95"/>
    <x v="0"/>
    <n v="0.17"/>
    <x v="1"/>
    <x v="0"/>
    <x v="7"/>
  </r>
  <r>
    <n v="1063"/>
    <d v="2023-07-21T00:00:00"/>
    <s v="2023"/>
    <x v="11"/>
    <s v="Friday"/>
    <x v="0"/>
    <x v="3"/>
    <x v="382"/>
    <n v="32"/>
    <x v="3"/>
    <n v="975.31"/>
    <n v="1176.17"/>
    <x v="1"/>
    <n v="0.22"/>
    <x v="1"/>
    <x v="1"/>
    <x v="12"/>
  </r>
  <r>
    <n v="1085"/>
    <d v="2023-06-07T00:00:00"/>
    <s v="2023"/>
    <x v="6"/>
    <s v="Wednesday"/>
    <x v="2"/>
    <x v="3"/>
    <x v="383"/>
    <n v="42"/>
    <x v="2"/>
    <n v="2254.11"/>
    <n v="2382.23"/>
    <x v="0"/>
    <n v="0.15"/>
    <x v="2"/>
    <x v="1"/>
    <x v="4"/>
  </r>
  <r>
    <n v="1032"/>
    <d v="2023-04-30T00:00:00"/>
    <s v="2023"/>
    <x v="1"/>
    <s v="Sunday"/>
    <x v="4"/>
    <x v="1"/>
    <x v="384"/>
    <n v="18"/>
    <x v="3"/>
    <n v="2466.1799999999998"/>
    <n v="2483.87"/>
    <x v="0"/>
    <n v="0.08"/>
    <x v="0"/>
    <x v="0"/>
    <x v="17"/>
  </r>
  <r>
    <n v="1087"/>
    <d v="2023-02-28T00:00:00"/>
    <s v="2023"/>
    <x v="0"/>
    <s v="Tuesday"/>
    <x v="4"/>
    <x v="1"/>
    <x v="385"/>
    <n v="15"/>
    <x v="0"/>
    <n v="4074.66"/>
    <n v="4261.1099999999997"/>
    <x v="0"/>
    <n v="0.05"/>
    <x v="2"/>
    <x v="1"/>
    <x v="17"/>
  </r>
  <r>
    <n v="1033"/>
    <d v="2023-08-03T00:00:00"/>
    <s v="2023"/>
    <x v="3"/>
    <s v="Thursday"/>
    <x v="4"/>
    <x v="1"/>
    <x v="386"/>
    <n v="40"/>
    <x v="1"/>
    <n v="541.19000000000005"/>
    <n v="595.20000000000005"/>
    <x v="0"/>
    <n v="0.19"/>
    <x v="2"/>
    <x v="0"/>
    <x v="17"/>
  </r>
  <r>
    <n v="1067"/>
    <d v="2023-05-08T00:00:00"/>
    <s v="2023"/>
    <x v="10"/>
    <s v="Monday"/>
    <x v="2"/>
    <x v="0"/>
    <x v="387"/>
    <n v="32"/>
    <x v="1"/>
    <n v="2171.79"/>
    <n v="2307.64"/>
    <x v="0"/>
    <n v="0.22"/>
    <x v="1"/>
    <x v="0"/>
    <x v="19"/>
  </r>
  <r>
    <n v="1018"/>
    <d v="2023-08-12T00:00:00"/>
    <s v="2023"/>
    <x v="3"/>
    <s v="Saturday"/>
    <x v="2"/>
    <x v="0"/>
    <x v="388"/>
    <n v="9"/>
    <x v="3"/>
    <n v="3161.09"/>
    <n v="3216.42"/>
    <x v="1"/>
    <n v="0.17"/>
    <x v="1"/>
    <x v="0"/>
    <x v="19"/>
  </r>
  <r>
    <n v="1025"/>
    <d v="2023-07-28T00:00:00"/>
    <s v="2023"/>
    <x v="11"/>
    <s v="Friday"/>
    <x v="1"/>
    <x v="1"/>
    <x v="389"/>
    <n v="37"/>
    <x v="3"/>
    <n v="1115.02"/>
    <n v="1174.48"/>
    <x v="1"/>
    <n v="0.22"/>
    <x v="2"/>
    <x v="0"/>
    <x v="13"/>
  </r>
  <r>
    <n v="1095"/>
    <d v="2023-04-25T00:00:00"/>
    <s v="2023"/>
    <x v="1"/>
    <s v="Tuesday"/>
    <x v="0"/>
    <x v="2"/>
    <x v="390"/>
    <n v="10"/>
    <x v="3"/>
    <n v="3155.97"/>
    <n v="3263.49"/>
    <x v="0"/>
    <n v="0.04"/>
    <x v="2"/>
    <x v="0"/>
    <x v="3"/>
  </r>
  <r>
    <n v="1054"/>
    <d v="2023-07-28T00:00:00"/>
    <s v="2023"/>
    <x v="11"/>
    <s v="Friday"/>
    <x v="1"/>
    <x v="3"/>
    <x v="391"/>
    <n v="20"/>
    <x v="2"/>
    <n v="4622.1400000000003"/>
    <n v="5122.07"/>
    <x v="1"/>
    <n v="0.26"/>
    <x v="0"/>
    <x v="1"/>
    <x v="16"/>
  </r>
  <r>
    <n v="1058"/>
    <d v="2023-01-14T00:00:00"/>
    <s v="2023"/>
    <x v="5"/>
    <s v="Saturday"/>
    <x v="0"/>
    <x v="3"/>
    <x v="392"/>
    <n v="6"/>
    <x v="1"/>
    <n v="4987.71"/>
    <n v="4998.78"/>
    <x v="0"/>
    <n v="0.17"/>
    <x v="0"/>
    <x v="1"/>
    <x v="12"/>
  </r>
  <r>
    <n v="1067"/>
    <d v="2023-01-09T00:00:00"/>
    <s v="2023"/>
    <x v="5"/>
    <s v="Monday"/>
    <x v="2"/>
    <x v="0"/>
    <x v="393"/>
    <n v="48"/>
    <x v="3"/>
    <n v="210.63"/>
    <n v="533.57999999999902"/>
    <x v="1"/>
    <n v="0.04"/>
    <x v="1"/>
    <x v="0"/>
    <x v="19"/>
  </r>
  <r>
    <n v="1046"/>
    <d v="2023-02-09T00:00:00"/>
    <s v="2023"/>
    <x v="0"/>
    <s v="Thursday"/>
    <x v="2"/>
    <x v="3"/>
    <x v="394"/>
    <n v="3"/>
    <x v="0"/>
    <n v="1216.1600000000001"/>
    <n v="1295.3699999999999"/>
    <x v="1"/>
    <n v="0.14000000000000001"/>
    <x v="0"/>
    <x v="1"/>
    <x v="4"/>
  </r>
  <r>
    <n v="1024"/>
    <d v="2023-08-25T00:00:00"/>
    <s v="2023"/>
    <x v="3"/>
    <s v="Friday"/>
    <x v="1"/>
    <x v="2"/>
    <x v="395"/>
    <n v="42"/>
    <x v="3"/>
    <n v="1586.02"/>
    <n v="2047.13"/>
    <x v="1"/>
    <n v="0.25"/>
    <x v="0"/>
    <x v="1"/>
    <x v="2"/>
  </r>
  <r>
    <n v="1032"/>
    <d v="2023-10-08T00:00:00"/>
    <s v="2023"/>
    <x v="7"/>
    <s v="Sunday"/>
    <x v="3"/>
    <x v="3"/>
    <x v="396"/>
    <n v="11"/>
    <x v="1"/>
    <n v="2025.67"/>
    <n v="2081.5500000000002"/>
    <x v="1"/>
    <n v="0.27"/>
    <x v="1"/>
    <x v="0"/>
    <x v="14"/>
  </r>
  <r>
    <n v="1047"/>
    <d v="2023-12-25T00:00:00"/>
    <s v="2023"/>
    <x v="9"/>
    <s v="Monday"/>
    <x v="1"/>
    <x v="0"/>
    <x v="397"/>
    <n v="43"/>
    <x v="3"/>
    <n v="1249.17"/>
    <n v="1727.15"/>
    <x v="1"/>
    <n v="0.08"/>
    <x v="0"/>
    <x v="1"/>
    <x v="11"/>
  </r>
  <r>
    <n v="1086"/>
    <d v="2023-07-20T00:00:00"/>
    <s v="2023"/>
    <x v="11"/>
    <s v="Thursday"/>
    <x v="0"/>
    <x v="0"/>
    <x v="398"/>
    <n v="17"/>
    <x v="1"/>
    <n v="1057.27"/>
    <n v="1366.62"/>
    <x v="1"/>
    <n v="0.21"/>
    <x v="2"/>
    <x v="1"/>
    <x v="0"/>
  </r>
  <r>
    <n v="1023"/>
    <d v="2023-09-03T00:00:00"/>
    <s v="2023"/>
    <x v="2"/>
    <s v="Sunday"/>
    <x v="1"/>
    <x v="2"/>
    <x v="399"/>
    <n v="32"/>
    <x v="3"/>
    <n v="4775.04"/>
    <n v="4785.66"/>
    <x v="1"/>
    <n v="0.03"/>
    <x v="0"/>
    <x v="0"/>
    <x v="2"/>
  </r>
  <r>
    <n v="1066"/>
    <d v="2023-10-05T00:00:00"/>
    <s v="2023"/>
    <x v="7"/>
    <s v="Thursday"/>
    <x v="4"/>
    <x v="2"/>
    <x v="400"/>
    <n v="4"/>
    <x v="0"/>
    <n v="4596.68"/>
    <n v="5044.74"/>
    <x v="1"/>
    <n v="0.01"/>
    <x v="1"/>
    <x v="0"/>
    <x v="9"/>
  </r>
  <r>
    <n v="1027"/>
    <d v="2023-08-23T00:00:00"/>
    <s v="2023"/>
    <x v="3"/>
    <s v="Wednesday"/>
    <x v="0"/>
    <x v="3"/>
    <x v="401"/>
    <n v="4"/>
    <x v="3"/>
    <n v="282.61"/>
    <n v="548.25"/>
    <x v="1"/>
    <n v="0.17"/>
    <x v="2"/>
    <x v="0"/>
    <x v="12"/>
  </r>
  <r>
    <n v="1002"/>
    <d v="2023-01-04T00:00:00"/>
    <s v="2023"/>
    <x v="5"/>
    <s v="Wednesday"/>
    <x v="0"/>
    <x v="3"/>
    <x v="402"/>
    <n v="17"/>
    <x v="0"/>
    <n v="1727.12"/>
    <n v="1865.83"/>
    <x v="1"/>
    <n v="0.21"/>
    <x v="0"/>
    <x v="0"/>
    <x v="12"/>
  </r>
  <r>
    <n v="1090"/>
    <d v="2023-06-03T00:00:00"/>
    <s v="2023"/>
    <x v="6"/>
    <s v="Saturday"/>
    <x v="3"/>
    <x v="0"/>
    <x v="403"/>
    <n v="41"/>
    <x v="0"/>
    <n v="2055.4899999999998"/>
    <n v="2441.46"/>
    <x v="1"/>
    <n v="0.24"/>
    <x v="2"/>
    <x v="0"/>
    <x v="7"/>
  </r>
  <r>
    <n v="1017"/>
    <d v="2023-01-29T00:00:00"/>
    <s v="2023"/>
    <x v="5"/>
    <s v="Sunday"/>
    <x v="2"/>
    <x v="2"/>
    <x v="404"/>
    <n v="19"/>
    <x v="3"/>
    <n v="1233.1199999999999"/>
    <n v="1697.1899999999901"/>
    <x v="1"/>
    <n v="0.1"/>
    <x v="2"/>
    <x v="0"/>
    <x v="10"/>
  </r>
  <r>
    <n v="1033"/>
    <d v="2023-04-19T00:00:00"/>
    <s v="2023"/>
    <x v="1"/>
    <s v="Wednesday"/>
    <x v="0"/>
    <x v="2"/>
    <x v="405"/>
    <n v="5"/>
    <x v="0"/>
    <n v="3162.92"/>
    <n v="3409.93"/>
    <x v="1"/>
    <n v="0"/>
    <x v="0"/>
    <x v="0"/>
    <x v="3"/>
  </r>
  <r>
    <n v="1009"/>
    <d v="2023-04-08T00:00:00"/>
    <s v="2023"/>
    <x v="1"/>
    <s v="Saturday"/>
    <x v="2"/>
    <x v="2"/>
    <x v="406"/>
    <n v="32"/>
    <x v="2"/>
    <n v="3219.88"/>
    <n v="3384.5"/>
    <x v="0"/>
    <n v="0.14000000000000001"/>
    <x v="0"/>
    <x v="1"/>
    <x v="10"/>
  </r>
  <r>
    <n v="1043"/>
    <d v="2023-08-03T00:00:00"/>
    <s v="2023"/>
    <x v="3"/>
    <s v="Thursday"/>
    <x v="1"/>
    <x v="3"/>
    <x v="407"/>
    <n v="22"/>
    <x v="3"/>
    <n v="4260"/>
    <n v="4656.58"/>
    <x v="1"/>
    <n v="0"/>
    <x v="1"/>
    <x v="0"/>
    <x v="16"/>
  </r>
  <r>
    <n v="1048"/>
    <d v="2023-10-20T00:00:00"/>
    <s v="2023"/>
    <x v="7"/>
    <s v="Friday"/>
    <x v="4"/>
    <x v="2"/>
    <x v="408"/>
    <n v="6"/>
    <x v="3"/>
    <n v="3717.3"/>
    <n v="4061.37"/>
    <x v="1"/>
    <n v="0.03"/>
    <x v="1"/>
    <x v="1"/>
    <x v="9"/>
  </r>
  <r>
    <n v="1039"/>
    <d v="2023-03-16T00:00:00"/>
    <s v="2023"/>
    <x v="4"/>
    <s v="Thursday"/>
    <x v="3"/>
    <x v="0"/>
    <x v="409"/>
    <n v="35"/>
    <x v="0"/>
    <n v="2735.74"/>
    <n v="3181.22999999999"/>
    <x v="1"/>
    <n v="0.1"/>
    <x v="2"/>
    <x v="1"/>
    <x v="7"/>
  </r>
  <r>
    <n v="1093"/>
    <d v="2023-11-22T00:00:00"/>
    <s v="2023"/>
    <x v="8"/>
    <s v="Wednesday"/>
    <x v="2"/>
    <x v="0"/>
    <x v="410"/>
    <n v="22"/>
    <x v="0"/>
    <n v="3285.25"/>
    <n v="3634.58"/>
    <x v="1"/>
    <n v="0.13"/>
    <x v="1"/>
    <x v="0"/>
    <x v="19"/>
  </r>
  <r>
    <n v="1042"/>
    <d v="2023-05-26T00:00:00"/>
    <s v="2023"/>
    <x v="10"/>
    <s v="Friday"/>
    <x v="0"/>
    <x v="3"/>
    <x v="411"/>
    <n v="1"/>
    <x v="3"/>
    <n v="1406.24"/>
    <n v="1535.57"/>
    <x v="1"/>
    <n v="0.08"/>
    <x v="2"/>
    <x v="1"/>
    <x v="12"/>
  </r>
  <r>
    <n v="1026"/>
    <d v="2023-05-08T00:00:00"/>
    <s v="2023"/>
    <x v="10"/>
    <s v="Monday"/>
    <x v="2"/>
    <x v="1"/>
    <x v="412"/>
    <n v="20"/>
    <x v="2"/>
    <n v="2985.63"/>
    <n v="3452.14"/>
    <x v="1"/>
    <n v="0.17"/>
    <x v="2"/>
    <x v="1"/>
    <x v="5"/>
  </r>
  <r>
    <n v="1099"/>
    <d v="2023-12-07T00:00:00"/>
    <s v="2023"/>
    <x v="9"/>
    <s v="Thursday"/>
    <x v="0"/>
    <x v="3"/>
    <x v="413"/>
    <n v="22"/>
    <x v="0"/>
    <n v="2471.67"/>
    <n v="2533.04"/>
    <x v="0"/>
    <n v="0.02"/>
    <x v="1"/>
    <x v="1"/>
    <x v="12"/>
  </r>
  <r>
    <n v="1050"/>
    <d v="2023-02-11T00:00:00"/>
    <s v="2023"/>
    <x v="0"/>
    <s v="Saturday"/>
    <x v="2"/>
    <x v="1"/>
    <x v="414"/>
    <n v="48"/>
    <x v="0"/>
    <n v="710.06"/>
    <n v="851.349999999999"/>
    <x v="0"/>
    <n v="0.04"/>
    <x v="1"/>
    <x v="0"/>
    <x v="5"/>
  </r>
  <r>
    <n v="1025"/>
    <d v="2023-12-22T00:00:00"/>
    <s v="2023"/>
    <x v="9"/>
    <s v="Friday"/>
    <x v="0"/>
    <x v="2"/>
    <x v="415"/>
    <n v="11"/>
    <x v="1"/>
    <n v="1250.5899999999999"/>
    <n v="1515.48999999999"/>
    <x v="0"/>
    <n v="0.21"/>
    <x v="1"/>
    <x v="1"/>
    <x v="3"/>
  </r>
  <r>
    <n v="1024"/>
    <d v="2023-02-10T00:00:00"/>
    <s v="2023"/>
    <x v="0"/>
    <s v="Friday"/>
    <x v="1"/>
    <x v="3"/>
    <x v="416"/>
    <n v="13"/>
    <x v="2"/>
    <n v="1493.88"/>
    <n v="1781.09"/>
    <x v="1"/>
    <n v="0.04"/>
    <x v="0"/>
    <x v="1"/>
    <x v="16"/>
  </r>
  <r>
    <n v="1013"/>
    <d v="2023-02-03T00:00:00"/>
    <s v="2023"/>
    <x v="0"/>
    <s v="Friday"/>
    <x v="0"/>
    <x v="0"/>
    <x v="417"/>
    <n v="42"/>
    <x v="2"/>
    <n v="4625.33"/>
    <n v="4642.83"/>
    <x v="1"/>
    <n v="0.19"/>
    <x v="2"/>
    <x v="0"/>
    <x v="0"/>
  </r>
  <r>
    <n v="1060"/>
    <d v="2023-01-17T00:00:00"/>
    <s v="2023"/>
    <x v="5"/>
    <s v="Tuesday"/>
    <x v="0"/>
    <x v="2"/>
    <x v="418"/>
    <n v="3"/>
    <x v="3"/>
    <n v="1190.4100000000001"/>
    <n v="1582.89"/>
    <x v="1"/>
    <n v="0.02"/>
    <x v="2"/>
    <x v="1"/>
    <x v="3"/>
  </r>
  <r>
    <n v="1007"/>
    <d v="2023-06-14T00:00:00"/>
    <s v="2023"/>
    <x v="6"/>
    <s v="Wednesday"/>
    <x v="4"/>
    <x v="0"/>
    <x v="419"/>
    <n v="9"/>
    <x v="2"/>
    <n v="1481.76"/>
    <n v="1668.95"/>
    <x v="0"/>
    <n v="0.12"/>
    <x v="2"/>
    <x v="1"/>
    <x v="15"/>
  </r>
  <r>
    <n v="1057"/>
    <d v="2023-06-02T00:00:00"/>
    <s v="2023"/>
    <x v="6"/>
    <s v="Friday"/>
    <x v="0"/>
    <x v="2"/>
    <x v="420"/>
    <n v="12"/>
    <x v="3"/>
    <n v="1878.3"/>
    <n v="2087.4499999999998"/>
    <x v="1"/>
    <n v="0.05"/>
    <x v="1"/>
    <x v="1"/>
    <x v="3"/>
  </r>
  <r>
    <n v="1036"/>
    <d v="2023-03-17T00:00:00"/>
    <s v="2023"/>
    <x v="4"/>
    <s v="Friday"/>
    <x v="4"/>
    <x v="3"/>
    <x v="421"/>
    <n v="23"/>
    <x v="1"/>
    <n v="3335.53"/>
    <n v="3742.12"/>
    <x v="1"/>
    <n v="0.03"/>
    <x v="1"/>
    <x v="1"/>
    <x v="18"/>
  </r>
  <r>
    <n v="1045"/>
    <d v="2023-03-28T00:00:00"/>
    <s v="2023"/>
    <x v="4"/>
    <s v="Tuesday"/>
    <x v="3"/>
    <x v="1"/>
    <x v="422"/>
    <n v="14"/>
    <x v="2"/>
    <n v="635.28"/>
    <n v="831.13"/>
    <x v="0"/>
    <n v="0.17"/>
    <x v="1"/>
    <x v="1"/>
    <x v="8"/>
  </r>
  <r>
    <n v="1020"/>
    <d v="2023-04-27T00:00:00"/>
    <s v="2023"/>
    <x v="1"/>
    <s v="Thursday"/>
    <x v="4"/>
    <x v="2"/>
    <x v="423"/>
    <n v="33"/>
    <x v="0"/>
    <n v="4772.03"/>
    <n v="4805.17"/>
    <x v="0"/>
    <n v="0.28000000000000003"/>
    <x v="1"/>
    <x v="0"/>
    <x v="9"/>
  </r>
  <r>
    <n v="1065"/>
    <d v="2023-12-28T00:00:00"/>
    <s v="2023"/>
    <x v="9"/>
    <s v="Thursday"/>
    <x v="1"/>
    <x v="1"/>
    <x v="424"/>
    <n v="18"/>
    <x v="1"/>
    <n v="4334.58"/>
    <n v="4431.04"/>
    <x v="1"/>
    <n v="0.02"/>
    <x v="1"/>
    <x v="1"/>
    <x v="13"/>
  </r>
  <r>
    <n v="1008"/>
    <d v="2023-12-08T00:00:00"/>
    <s v="2023"/>
    <x v="9"/>
    <s v="Friday"/>
    <x v="4"/>
    <x v="2"/>
    <x v="425"/>
    <n v="49"/>
    <x v="3"/>
    <n v="2907.22"/>
    <n v="3385.6099999999901"/>
    <x v="1"/>
    <n v="0.13"/>
    <x v="0"/>
    <x v="0"/>
    <x v="9"/>
  </r>
  <r>
    <n v="1016"/>
    <d v="2023-01-27T00:00:00"/>
    <s v="2023"/>
    <x v="5"/>
    <s v="Friday"/>
    <x v="3"/>
    <x v="0"/>
    <x v="426"/>
    <n v="41"/>
    <x v="1"/>
    <n v="3386.49"/>
    <n v="3430.99"/>
    <x v="1"/>
    <n v="0.21"/>
    <x v="1"/>
    <x v="1"/>
    <x v="7"/>
  </r>
  <r>
    <n v="1014"/>
    <d v="2023-11-09T00:00:00"/>
    <s v="2023"/>
    <x v="8"/>
    <s v="Thursday"/>
    <x v="1"/>
    <x v="0"/>
    <x v="427"/>
    <n v="9"/>
    <x v="3"/>
    <n v="132.47"/>
    <n v="316.39"/>
    <x v="1"/>
    <n v="0.14000000000000001"/>
    <x v="2"/>
    <x v="0"/>
    <x v="11"/>
  </r>
  <r>
    <n v="1076"/>
    <d v="2023-10-14T00:00:00"/>
    <s v="2023"/>
    <x v="7"/>
    <s v="Saturday"/>
    <x v="2"/>
    <x v="2"/>
    <x v="428"/>
    <n v="23"/>
    <x v="1"/>
    <n v="1727.78"/>
    <n v="1984.34"/>
    <x v="0"/>
    <n v="0.24"/>
    <x v="1"/>
    <x v="0"/>
    <x v="10"/>
  </r>
  <r>
    <n v="1087"/>
    <d v="2023-05-14T00:00:00"/>
    <s v="2023"/>
    <x v="10"/>
    <s v="Sunday"/>
    <x v="2"/>
    <x v="1"/>
    <x v="429"/>
    <n v="10"/>
    <x v="3"/>
    <n v="3988.52"/>
    <n v="4240.2299999999996"/>
    <x v="1"/>
    <n v="0.05"/>
    <x v="2"/>
    <x v="0"/>
    <x v="5"/>
  </r>
  <r>
    <n v="1015"/>
    <d v="2023-08-07T00:00:00"/>
    <s v="2023"/>
    <x v="3"/>
    <s v="Monday"/>
    <x v="4"/>
    <x v="3"/>
    <x v="430"/>
    <n v="19"/>
    <x v="2"/>
    <n v="433.54"/>
    <n v="445.48"/>
    <x v="1"/>
    <n v="0.28999999999999998"/>
    <x v="1"/>
    <x v="1"/>
    <x v="18"/>
  </r>
  <r>
    <n v="1092"/>
    <d v="2023-06-17T00:00:00"/>
    <s v="2023"/>
    <x v="6"/>
    <s v="Saturday"/>
    <x v="4"/>
    <x v="3"/>
    <x v="431"/>
    <n v="47"/>
    <x v="0"/>
    <n v="1447.45"/>
    <n v="1703.02"/>
    <x v="0"/>
    <n v="0.12"/>
    <x v="1"/>
    <x v="1"/>
    <x v="18"/>
  </r>
  <r>
    <n v="1098"/>
    <d v="2023-04-08T00:00:00"/>
    <s v="2023"/>
    <x v="1"/>
    <s v="Saturday"/>
    <x v="3"/>
    <x v="0"/>
    <x v="432"/>
    <n v="5"/>
    <x v="3"/>
    <n v="2947.22"/>
    <n v="3145.27"/>
    <x v="1"/>
    <n v="0.1"/>
    <x v="2"/>
    <x v="1"/>
    <x v="7"/>
  </r>
  <r>
    <n v="1066"/>
    <d v="2023-09-25T00:00:00"/>
    <s v="2023"/>
    <x v="2"/>
    <s v="Monday"/>
    <x v="3"/>
    <x v="3"/>
    <x v="433"/>
    <n v="47"/>
    <x v="1"/>
    <n v="1319.24"/>
    <n v="1805.56"/>
    <x v="1"/>
    <n v="0.26"/>
    <x v="2"/>
    <x v="1"/>
    <x v="14"/>
  </r>
  <r>
    <n v="1032"/>
    <d v="2023-08-25T00:00:00"/>
    <s v="2023"/>
    <x v="3"/>
    <s v="Friday"/>
    <x v="0"/>
    <x v="0"/>
    <x v="434"/>
    <n v="23"/>
    <x v="3"/>
    <n v="4673.1899999999996"/>
    <n v="4761.1799999999903"/>
    <x v="0"/>
    <n v="0.17"/>
    <x v="2"/>
    <x v="1"/>
    <x v="0"/>
  </r>
  <r>
    <n v="1087"/>
    <d v="2023-11-05T00:00:00"/>
    <s v="2023"/>
    <x v="8"/>
    <s v="Sunday"/>
    <x v="3"/>
    <x v="3"/>
    <x v="435"/>
    <n v="30"/>
    <x v="3"/>
    <n v="698.74"/>
    <n v="882.28"/>
    <x v="0"/>
    <n v="0.15"/>
    <x v="2"/>
    <x v="0"/>
    <x v="14"/>
  </r>
  <r>
    <n v="1063"/>
    <d v="2023-06-22T00:00:00"/>
    <s v="2023"/>
    <x v="6"/>
    <s v="Thursday"/>
    <x v="0"/>
    <x v="2"/>
    <x v="436"/>
    <n v="25"/>
    <x v="3"/>
    <n v="3997.1"/>
    <n v="4212.6499999999996"/>
    <x v="1"/>
    <n v="0.22"/>
    <x v="0"/>
    <x v="0"/>
    <x v="3"/>
  </r>
  <r>
    <n v="1086"/>
    <d v="2023-07-09T00:00:00"/>
    <s v="2023"/>
    <x v="11"/>
    <s v="Sunday"/>
    <x v="1"/>
    <x v="0"/>
    <x v="437"/>
    <n v="28"/>
    <x v="1"/>
    <n v="2564.35"/>
    <n v="2765.79"/>
    <x v="0"/>
    <n v="0.17"/>
    <x v="2"/>
    <x v="0"/>
    <x v="11"/>
  </r>
  <r>
    <n v="1051"/>
    <d v="2023-05-02T00:00:00"/>
    <s v="2023"/>
    <x v="10"/>
    <s v="Tuesday"/>
    <x v="4"/>
    <x v="0"/>
    <x v="438"/>
    <n v="34"/>
    <x v="0"/>
    <n v="3764.14"/>
    <n v="4100.3999999999996"/>
    <x v="0"/>
    <n v="0.05"/>
    <x v="1"/>
    <x v="1"/>
    <x v="15"/>
  </r>
  <r>
    <n v="1025"/>
    <d v="2023-02-15T00:00:00"/>
    <s v="2023"/>
    <x v="0"/>
    <s v="Wednesday"/>
    <x v="1"/>
    <x v="2"/>
    <x v="439"/>
    <n v="45"/>
    <x v="2"/>
    <n v="1588.04"/>
    <n v="1703.6399999999901"/>
    <x v="1"/>
    <n v="0.2"/>
    <x v="1"/>
    <x v="1"/>
    <x v="2"/>
  </r>
  <r>
    <n v="1058"/>
    <d v="2023-03-05T00:00:00"/>
    <s v="2023"/>
    <x v="4"/>
    <s v="Sunday"/>
    <x v="3"/>
    <x v="0"/>
    <x v="440"/>
    <n v="48"/>
    <x v="0"/>
    <n v="2596.7199999999998"/>
    <n v="2715.0499999999902"/>
    <x v="0"/>
    <n v="0.04"/>
    <x v="0"/>
    <x v="0"/>
    <x v="7"/>
  </r>
  <r>
    <n v="1063"/>
    <d v="2023-05-10T00:00:00"/>
    <s v="2023"/>
    <x v="10"/>
    <s v="Wednesday"/>
    <x v="1"/>
    <x v="3"/>
    <x v="441"/>
    <n v="47"/>
    <x v="3"/>
    <n v="4291.33"/>
    <n v="4658.6400000000003"/>
    <x v="1"/>
    <n v="0.24"/>
    <x v="2"/>
    <x v="1"/>
    <x v="16"/>
  </r>
  <r>
    <n v="1062"/>
    <d v="2023-11-06T00:00:00"/>
    <s v="2023"/>
    <x v="8"/>
    <s v="Monday"/>
    <x v="1"/>
    <x v="3"/>
    <x v="442"/>
    <n v="25"/>
    <x v="1"/>
    <n v="2361.0500000000002"/>
    <n v="2616.19"/>
    <x v="1"/>
    <n v="0.3"/>
    <x v="1"/>
    <x v="1"/>
    <x v="16"/>
  </r>
  <r>
    <n v="1022"/>
    <d v="2023-12-29T00:00:00"/>
    <s v="2023"/>
    <x v="9"/>
    <s v="Friday"/>
    <x v="1"/>
    <x v="0"/>
    <x v="443"/>
    <n v="10"/>
    <x v="0"/>
    <n v="1830.61"/>
    <n v="2044.04"/>
    <x v="1"/>
    <n v="0.11"/>
    <x v="0"/>
    <x v="0"/>
    <x v="11"/>
  </r>
  <r>
    <n v="1058"/>
    <d v="2023-07-12T00:00:00"/>
    <s v="2023"/>
    <x v="11"/>
    <s v="Wednesday"/>
    <x v="3"/>
    <x v="3"/>
    <x v="444"/>
    <n v="14"/>
    <x v="3"/>
    <n v="2703.97"/>
    <n v="2796.8799999999901"/>
    <x v="1"/>
    <n v="0.13"/>
    <x v="1"/>
    <x v="0"/>
    <x v="14"/>
  </r>
  <r>
    <n v="1058"/>
    <d v="2023-11-03T00:00:00"/>
    <s v="2023"/>
    <x v="8"/>
    <s v="Friday"/>
    <x v="1"/>
    <x v="1"/>
    <x v="445"/>
    <n v="42"/>
    <x v="2"/>
    <n v="3600.95"/>
    <n v="3702.8399999999901"/>
    <x v="0"/>
    <n v="0.01"/>
    <x v="0"/>
    <x v="1"/>
    <x v="13"/>
  </r>
  <r>
    <n v="1086"/>
    <d v="2023-06-30T00:00:00"/>
    <s v="2023"/>
    <x v="6"/>
    <s v="Friday"/>
    <x v="0"/>
    <x v="0"/>
    <x v="446"/>
    <n v="46"/>
    <x v="2"/>
    <n v="2245.64"/>
    <n v="2260.81"/>
    <x v="1"/>
    <n v="0"/>
    <x v="0"/>
    <x v="1"/>
    <x v="0"/>
  </r>
  <r>
    <n v="1049"/>
    <d v="2023-10-19T00:00:00"/>
    <s v="2023"/>
    <x v="7"/>
    <s v="Thursday"/>
    <x v="3"/>
    <x v="2"/>
    <x v="447"/>
    <n v="30"/>
    <x v="2"/>
    <n v="4697.4399999999996"/>
    <n v="4752.24"/>
    <x v="1"/>
    <n v="0.28000000000000003"/>
    <x v="2"/>
    <x v="0"/>
    <x v="6"/>
  </r>
  <r>
    <n v="1052"/>
    <d v="2023-10-09T00:00:00"/>
    <s v="2023"/>
    <x v="7"/>
    <s v="Monday"/>
    <x v="1"/>
    <x v="1"/>
    <x v="448"/>
    <n v="41"/>
    <x v="3"/>
    <n v="1509.98"/>
    <n v="1792.83"/>
    <x v="1"/>
    <n v="0.04"/>
    <x v="0"/>
    <x v="1"/>
    <x v="13"/>
  </r>
  <r>
    <n v="1042"/>
    <d v="2023-01-29T00:00:00"/>
    <s v="2023"/>
    <x v="5"/>
    <s v="Sunday"/>
    <x v="3"/>
    <x v="0"/>
    <x v="449"/>
    <n v="25"/>
    <x v="1"/>
    <n v="2403.54"/>
    <n v="2850.56"/>
    <x v="1"/>
    <n v="0.13"/>
    <x v="1"/>
    <x v="0"/>
    <x v="7"/>
  </r>
  <r>
    <n v="1070"/>
    <d v="2023-05-29T00:00:00"/>
    <s v="2023"/>
    <x v="10"/>
    <s v="Monday"/>
    <x v="2"/>
    <x v="2"/>
    <x v="450"/>
    <n v="14"/>
    <x v="0"/>
    <n v="3796.79"/>
    <n v="3947.5"/>
    <x v="0"/>
    <n v="0.24"/>
    <x v="1"/>
    <x v="0"/>
    <x v="10"/>
  </r>
  <r>
    <n v="1015"/>
    <d v="2023-09-24T00:00:00"/>
    <s v="2023"/>
    <x v="2"/>
    <s v="Sunday"/>
    <x v="0"/>
    <x v="3"/>
    <x v="451"/>
    <n v="35"/>
    <x v="2"/>
    <n v="3461.15"/>
    <n v="3631.75"/>
    <x v="0"/>
    <n v="0.27"/>
    <x v="2"/>
    <x v="0"/>
    <x v="12"/>
  </r>
  <r>
    <n v="1054"/>
    <d v="2023-10-23T00:00:00"/>
    <s v="2023"/>
    <x v="7"/>
    <s v="Monday"/>
    <x v="1"/>
    <x v="2"/>
    <x v="452"/>
    <n v="48"/>
    <x v="3"/>
    <n v="4325.0200000000004"/>
    <n v="4391.67"/>
    <x v="0"/>
    <n v="0.16"/>
    <x v="2"/>
    <x v="1"/>
    <x v="2"/>
  </r>
  <r>
    <n v="1060"/>
    <d v="2023-01-11T00:00:00"/>
    <s v="2023"/>
    <x v="5"/>
    <s v="Wednesday"/>
    <x v="2"/>
    <x v="1"/>
    <x v="453"/>
    <n v="34"/>
    <x v="3"/>
    <n v="4984.21"/>
    <n v="5184.6400000000003"/>
    <x v="1"/>
    <n v="0.17"/>
    <x v="0"/>
    <x v="0"/>
    <x v="5"/>
  </r>
  <r>
    <n v="1097"/>
    <d v="2023-06-13T00:00:00"/>
    <s v="2023"/>
    <x v="6"/>
    <s v="Tuesday"/>
    <x v="2"/>
    <x v="3"/>
    <x v="454"/>
    <n v="10"/>
    <x v="0"/>
    <n v="2162.9499999999998"/>
    <n v="2191.1899999999901"/>
    <x v="0"/>
    <n v="0.2"/>
    <x v="2"/>
    <x v="0"/>
    <x v="4"/>
  </r>
  <r>
    <n v="1008"/>
    <d v="2023-04-23T00:00:00"/>
    <s v="2023"/>
    <x v="1"/>
    <s v="Sunday"/>
    <x v="3"/>
    <x v="0"/>
    <x v="455"/>
    <n v="35"/>
    <x v="2"/>
    <n v="600.20000000000005"/>
    <n v="1059.82"/>
    <x v="0"/>
    <n v="0.28999999999999998"/>
    <x v="1"/>
    <x v="1"/>
    <x v="7"/>
  </r>
  <r>
    <n v="1053"/>
    <d v="2023-07-06T00:00:00"/>
    <s v="2023"/>
    <x v="11"/>
    <s v="Thursday"/>
    <x v="2"/>
    <x v="3"/>
    <x v="456"/>
    <n v="11"/>
    <x v="3"/>
    <n v="200.56"/>
    <n v="540.38"/>
    <x v="1"/>
    <n v="0.18"/>
    <x v="1"/>
    <x v="0"/>
    <x v="4"/>
  </r>
  <r>
    <n v="1060"/>
    <d v="2023-10-22T00:00:00"/>
    <s v="2023"/>
    <x v="7"/>
    <s v="Sunday"/>
    <x v="0"/>
    <x v="0"/>
    <x v="457"/>
    <n v="11"/>
    <x v="0"/>
    <n v="3648.04"/>
    <n v="4143.51"/>
    <x v="0"/>
    <n v="0.17"/>
    <x v="2"/>
    <x v="1"/>
    <x v="0"/>
  </r>
  <r>
    <n v="1005"/>
    <d v="2023-08-20T00:00:00"/>
    <s v="2023"/>
    <x v="3"/>
    <s v="Sunday"/>
    <x v="0"/>
    <x v="0"/>
    <x v="458"/>
    <n v="21"/>
    <x v="1"/>
    <n v="4376.37"/>
    <n v="4818.95"/>
    <x v="1"/>
    <n v="0"/>
    <x v="2"/>
    <x v="1"/>
    <x v="0"/>
  </r>
  <r>
    <n v="1068"/>
    <d v="2023-08-15T00:00:00"/>
    <s v="2023"/>
    <x v="3"/>
    <s v="Tuesday"/>
    <x v="4"/>
    <x v="2"/>
    <x v="459"/>
    <n v="21"/>
    <x v="1"/>
    <n v="1142.53"/>
    <n v="1384.3"/>
    <x v="0"/>
    <n v="0.02"/>
    <x v="2"/>
    <x v="1"/>
    <x v="9"/>
  </r>
  <r>
    <n v="1006"/>
    <d v="2023-11-06T00:00:00"/>
    <s v="2023"/>
    <x v="8"/>
    <s v="Monday"/>
    <x v="0"/>
    <x v="2"/>
    <x v="460"/>
    <n v="22"/>
    <x v="1"/>
    <n v="834.32"/>
    <n v="1098.97"/>
    <x v="0"/>
    <n v="0.17"/>
    <x v="0"/>
    <x v="0"/>
    <x v="3"/>
  </r>
  <r>
    <n v="1096"/>
    <d v="2023-04-08T00:00:00"/>
    <s v="2023"/>
    <x v="1"/>
    <s v="Saturday"/>
    <x v="2"/>
    <x v="2"/>
    <x v="461"/>
    <n v="45"/>
    <x v="2"/>
    <n v="357.92"/>
    <n v="461.3"/>
    <x v="0"/>
    <n v="0.28000000000000003"/>
    <x v="0"/>
    <x v="0"/>
    <x v="10"/>
  </r>
  <r>
    <n v="1094"/>
    <d v="2023-02-24T00:00:00"/>
    <s v="2023"/>
    <x v="0"/>
    <s v="Friday"/>
    <x v="0"/>
    <x v="1"/>
    <x v="462"/>
    <n v="7"/>
    <x v="0"/>
    <n v="4122.38"/>
    <n v="4358.78"/>
    <x v="0"/>
    <n v="0.26"/>
    <x v="1"/>
    <x v="1"/>
    <x v="1"/>
  </r>
  <r>
    <n v="1047"/>
    <d v="2023-04-21T00:00:00"/>
    <s v="2023"/>
    <x v="1"/>
    <s v="Friday"/>
    <x v="3"/>
    <x v="1"/>
    <x v="463"/>
    <n v="17"/>
    <x v="0"/>
    <n v="1591.34"/>
    <n v="2043.82"/>
    <x v="1"/>
    <n v="0.28999999999999998"/>
    <x v="0"/>
    <x v="1"/>
    <x v="8"/>
  </r>
  <r>
    <n v="1099"/>
    <d v="2023-06-01T00:00:00"/>
    <s v="2023"/>
    <x v="6"/>
    <s v="Thursday"/>
    <x v="4"/>
    <x v="2"/>
    <x v="464"/>
    <n v="2"/>
    <x v="3"/>
    <n v="2038.4"/>
    <n v="2073.3200000000002"/>
    <x v="1"/>
    <n v="0.16"/>
    <x v="0"/>
    <x v="1"/>
    <x v="9"/>
  </r>
  <r>
    <n v="1055"/>
    <d v="2023-09-03T00:00:00"/>
    <s v="2023"/>
    <x v="2"/>
    <s v="Sunday"/>
    <x v="2"/>
    <x v="1"/>
    <x v="465"/>
    <n v="12"/>
    <x v="3"/>
    <n v="2538.61"/>
    <n v="2971.75"/>
    <x v="0"/>
    <n v="0.24"/>
    <x v="0"/>
    <x v="0"/>
    <x v="5"/>
  </r>
  <r>
    <n v="1040"/>
    <d v="2023-03-10T00:00:00"/>
    <s v="2023"/>
    <x v="4"/>
    <s v="Friday"/>
    <x v="4"/>
    <x v="3"/>
    <x v="466"/>
    <n v="42"/>
    <x v="3"/>
    <n v="4205.29"/>
    <n v="4382.3500000000004"/>
    <x v="1"/>
    <n v="0.25"/>
    <x v="0"/>
    <x v="1"/>
    <x v="18"/>
  </r>
  <r>
    <n v="1052"/>
    <d v="2023-11-08T00:00:00"/>
    <s v="2023"/>
    <x v="8"/>
    <s v="Wednesday"/>
    <x v="2"/>
    <x v="3"/>
    <x v="467"/>
    <n v="18"/>
    <x v="0"/>
    <n v="3271.62"/>
    <n v="3722.38"/>
    <x v="0"/>
    <n v="0.19"/>
    <x v="1"/>
    <x v="1"/>
    <x v="4"/>
  </r>
  <r>
    <n v="1016"/>
    <d v="2023-10-16T00:00:00"/>
    <s v="2023"/>
    <x v="7"/>
    <s v="Monday"/>
    <x v="3"/>
    <x v="1"/>
    <x v="468"/>
    <n v="11"/>
    <x v="3"/>
    <n v="3094.57"/>
    <n v="3565.6"/>
    <x v="0"/>
    <n v="0.1"/>
    <x v="2"/>
    <x v="1"/>
    <x v="8"/>
  </r>
  <r>
    <n v="1013"/>
    <d v="2023-09-07T00:00:00"/>
    <s v="2023"/>
    <x v="2"/>
    <s v="Thursday"/>
    <x v="4"/>
    <x v="1"/>
    <x v="469"/>
    <n v="16"/>
    <x v="0"/>
    <n v="919.58"/>
    <n v="1258.3"/>
    <x v="0"/>
    <n v="0.14000000000000001"/>
    <x v="1"/>
    <x v="0"/>
    <x v="17"/>
  </r>
  <r>
    <n v="1030"/>
    <d v="2023-02-05T00:00:00"/>
    <s v="2023"/>
    <x v="0"/>
    <s v="Sunday"/>
    <x v="1"/>
    <x v="3"/>
    <x v="470"/>
    <n v="49"/>
    <x v="0"/>
    <n v="2590.29"/>
    <n v="2925.86"/>
    <x v="0"/>
    <n v="0.26"/>
    <x v="0"/>
    <x v="1"/>
    <x v="16"/>
  </r>
  <r>
    <n v="1019"/>
    <d v="2023-08-27T00:00:00"/>
    <s v="2023"/>
    <x v="3"/>
    <s v="Sunday"/>
    <x v="2"/>
    <x v="0"/>
    <x v="471"/>
    <n v="18"/>
    <x v="1"/>
    <n v="3591.14"/>
    <n v="3822.99"/>
    <x v="0"/>
    <n v="0.09"/>
    <x v="2"/>
    <x v="0"/>
    <x v="19"/>
  </r>
  <r>
    <n v="1017"/>
    <d v="2023-05-28T00:00:00"/>
    <s v="2023"/>
    <x v="10"/>
    <s v="Sunday"/>
    <x v="1"/>
    <x v="3"/>
    <x v="472"/>
    <n v="35"/>
    <x v="3"/>
    <n v="4867.6400000000003"/>
    <n v="5287.05"/>
    <x v="0"/>
    <n v="0.28000000000000003"/>
    <x v="2"/>
    <x v="0"/>
    <x v="16"/>
  </r>
  <r>
    <n v="1063"/>
    <d v="2023-08-15T00:00:00"/>
    <s v="2023"/>
    <x v="3"/>
    <s v="Tuesday"/>
    <x v="4"/>
    <x v="3"/>
    <x v="473"/>
    <n v="26"/>
    <x v="1"/>
    <n v="1046.96"/>
    <n v="1528.15"/>
    <x v="1"/>
    <n v="7.0000000000000007E-2"/>
    <x v="2"/>
    <x v="1"/>
    <x v="18"/>
  </r>
  <r>
    <n v="1019"/>
    <d v="2023-09-01T00:00:00"/>
    <s v="2023"/>
    <x v="2"/>
    <s v="Friday"/>
    <x v="1"/>
    <x v="1"/>
    <x v="474"/>
    <n v="16"/>
    <x v="2"/>
    <n v="97.24"/>
    <n v="487.03"/>
    <x v="1"/>
    <n v="0.22"/>
    <x v="1"/>
    <x v="1"/>
    <x v="13"/>
  </r>
  <r>
    <n v="1092"/>
    <d v="2023-12-03T00:00:00"/>
    <s v="2023"/>
    <x v="9"/>
    <s v="Sunday"/>
    <x v="1"/>
    <x v="3"/>
    <x v="475"/>
    <n v="6"/>
    <x v="2"/>
    <n v="422.74"/>
    <n v="737.49"/>
    <x v="0"/>
    <n v="0.19"/>
    <x v="2"/>
    <x v="1"/>
    <x v="16"/>
  </r>
  <r>
    <n v="1058"/>
    <d v="2023-12-31T00:00:00"/>
    <s v="2023"/>
    <x v="9"/>
    <s v="Sunday"/>
    <x v="4"/>
    <x v="1"/>
    <x v="476"/>
    <n v="44"/>
    <x v="2"/>
    <n v="1910.47"/>
    <n v="2217.8000000000002"/>
    <x v="1"/>
    <n v="0.22"/>
    <x v="1"/>
    <x v="0"/>
    <x v="17"/>
  </r>
  <r>
    <n v="1055"/>
    <d v="2023-07-20T00:00:00"/>
    <s v="2023"/>
    <x v="11"/>
    <s v="Thursday"/>
    <x v="3"/>
    <x v="1"/>
    <x v="477"/>
    <n v="43"/>
    <x v="0"/>
    <n v="4111.7"/>
    <n v="4537.9399999999996"/>
    <x v="0"/>
    <n v="0.13"/>
    <x v="1"/>
    <x v="0"/>
    <x v="8"/>
  </r>
  <r>
    <n v="1090"/>
    <d v="2023-06-03T00:00:00"/>
    <s v="2023"/>
    <x v="6"/>
    <s v="Saturday"/>
    <x v="1"/>
    <x v="2"/>
    <x v="478"/>
    <n v="47"/>
    <x v="0"/>
    <n v="85.35"/>
    <n v="360.539999999999"/>
    <x v="1"/>
    <n v="0.28000000000000003"/>
    <x v="0"/>
    <x v="0"/>
    <x v="2"/>
  </r>
  <r>
    <n v="1090"/>
    <d v="2023-03-14T00:00:00"/>
    <s v="2023"/>
    <x v="4"/>
    <s v="Tuesday"/>
    <x v="1"/>
    <x v="3"/>
    <x v="479"/>
    <n v="47"/>
    <x v="0"/>
    <n v="2310.8200000000002"/>
    <n v="2714.71"/>
    <x v="1"/>
    <n v="0.19"/>
    <x v="0"/>
    <x v="1"/>
    <x v="16"/>
  </r>
  <r>
    <n v="1062"/>
    <d v="2023-07-20T00:00:00"/>
    <s v="2023"/>
    <x v="11"/>
    <s v="Thursday"/>
    <x v="3"/>
    <x v="0"/>
    <x v="480"/>
    <n v="48"/>
    <x v="3"/>
    <n v="1679.69"/>
    <n v="1939.04"/>
    <x v="1"/>
    <n v="0.09"/>
    <x v="2"/>
    <x v="0"/>
    <x v="7"/>
  </r>
  <r>
    <n v="1023"/>
    <d v="2023-10-23T00:00:00"/>
    <s v="2023"/>
    <x v="7"/>
    <s v="Monday"/>
    <x v="1"/>
    <x v="2"/>
    <x v="481"/>
    <n v="42"/>
    <x v="1"/>
    <n v="309.77999999999997"/>
    <n v="350.38"/>
    <x v="0"/>
    <n v="0.19"/>
    <x v="2"/>
    <x v="1"/>
    <x v="2"/>
  </r>
  <r>
    <n v="1009"/>
    <d v="2023-01-17T00:00:00"/>
    <s v="2023"/>
    <x v="5"/>
    <s v="Tuesday"/>
    <x v="1"/>
    <x v="1"/>
    <x v="482"/>
    <n v="12"/>
    <x v="0"/>
    <n v="2278.67"/>
    <n v="2476.8000000000002"/>
    <x v="1"/>
    <n v="0.09"/>
    <x v="0"/>
    <x v="1"/>
    <x v="13"/>
  </r>
  <r>
    <n v="1012"/>
    <d v="2023-05-09T00:00:00"/>
    <s v="2023"/>
    <x v="10"/>
    <s v="Tuesday"/>
    <x v="1"/>
    <x v="1"/>
    <x v="483"/>
    <n v="13"/>
    <x v="1"/>
    <n v="1311.01"/>
    <n v="1538.79"/>
    <x v="0"/>
    <n v="0.09"/>
    <x v="1"/>
    <x v="1"/>
    <x v="13"/>
  </r>
  <r>
    <n v="1001"/>
    <d v="2023-08-05T00:00:00"/>
    <s v="2023"/>
    <x v="3"/>
    <s v="Saturday"/>
    <x v="0"/>
    <x v="0"/>
    <x v="484"/>
    <n v="4"/>
    <x v="1"/>
    <n v="1791.83"/>
    <n v="1871.22"/>
    <x v="0"/>
    <n v="0.12"/>
    <x v="1"/>
    <x v="0"/>
    <x v="0"/>
  </r>
  <r>
    <n v="1058"/>
    <d v="2023-03-02T00:00:00"/>
    <s v="2023"/>
    <x v="4"/>
    <s v="Thursday"/>
    <x v="3"/>
    <x v="1"/>
    <x v="485"/>
    <n v="39"/>
    <x v="1"/>
    <n v="3542.8"/>
    <n v="3603.02"/>
    <x v="0"/>
    <n v="0.26"/>
    <x v="0"/>
    <x v="0"/>
    <x v="8"/>
  </r>
  <r>
    <n v="1001"/>
    <d v="2023-04-14T00:00:00"/>
    <s v="2023"/>
    <x v="1"/>
    <s v="Friday"/>
    <x v="1"/>
    <x v="3"/>
    <x v="486"/>
    <n v="2"/>
    <x v="3"/>
    <n v="2631.68"/>
    <n v="2904.06"/>
    <x v="1"/>
    <n v="0.15"/>
    <x v="1"/>
    <x v="0"/>
    <x v="16"/>
  </r>
  <r>
    <n v="1034"/>
    <d v="2023-02-11T00:00:00"/>
    <s v="2023"/>
    <x v="0"/>
    <s v="Saturday"/>
    <x v="3"/>
    <x v="2"/>
    <x v="487"/>
    <n v="26"/>
    <x v="3"/>
    <n v="667"/>
    <n v="718.72"/>
    <x v="1"/>
    <n v="0.2"/>
    <x v="0"/>
    <x v="1"/>
    <x v="6"/>
  </r>
  <r>
    <n v="1096"/>
    <d v="2023-01-25T00:00:00"/>
    <s v="2023"/>
    <x v="5"/>
    <s v="Wednesday"/>
    <x v="2"/>
    <x v="1"/>
    <x v="488"/>
    <n v="27"/>
    <x v="2"/>
    <n v="4809"/>
    <n v="4967.4399999999996"/>
    <x v="1"/>
    <n v="0.12"/>
    <x v="0"/>
    <x v="0"/>
    <x v="5"/>
  </r>
  <r>
    <n v="1048"/>
    <d v="2023-02-08T00:00:00"/>
    <s v="2023"/>
    <x v="0"/>
    <s v="Wednesday"/>
    <x v="2"/>
    <x v="1"/>
    <x v="489"/>
    <n v="27"/>
    <x v="2"/>
    <n v="3197.76"/>
    <n v="3572.61"/>
    <x v="0"/>
    <n v="0.08"/>
    <x v="2"/>
    <x v="0"/>
    <x v="5"/>
  </r>
  <r>
    <n v="1089"/>
    <d v="2023-10-18T00:00:00"/>
    <s v="2023"/>
    <x v="7"/>
    <s v="Wednesday"/>
    <x v="1"/>
    <x v="0"/>
    <x v="490"/>
    <n v="15"/>
    <x v="1"/>
    <n v="3841.05"/>
    <n v="4323.62"/>
    <x v="0"/>
    <n v="0.28999999999999998"/>
    <x v="2"/>
    <x v="1"/>
    <x v="11"/>
  </r>
  <r>
    <n v="1001"/>
    <d v="2023-05-11T00:00:00"/>
    <s v="2023"/>
    <x v="10"/>
    <s v="Thursday"/>
    <x v="3"/>
    <x v="3"/>
    <x v="491"/>
    <n v="8"/>
    <x v="2"/>
    <n v="442.11"/>
    <n v="803.87"/>
    <x v="1"/>
    <n v="0.18"/>
    <x v="0"/>
    <x v="1"/>
    <x v="14"/>
  </r>
  <r>
    <n v="1016"/>
    <d v="2023-08-17T00:00:00"/>
    <s v="2023"/>
    <x v="3"/>
    <s v="Thursday"/>
    <x v="3"/>
    <x v="1"/>
    <x v="492"/>
    <n v="7"/>
    <x v="1"/>
    <n v="282.94"/>
    <n v="779.32999999999902"/>
    <x v="0"/>
    <n v="0.28000000000000003"/>
    <x v="2"/>
    <x v="0"/>
    <x v="8"/>
  </r>
  <r>
    <n v="1061"/>
    <d v="2023-04-18T00:00:00"/>
    <s v="2023"/>
    <x v="1"/>
    <s v="Tuesday"/>
    <x v="3"/>
    <x v="0"/>
    <x v="493"/>
    <n v="47"/>
    <x v="3"/>
    <n v="146.27000000000001"/>
    <n v="498.46"/>
    <x v="1"/>
    <n v="0.06"/>
    <x v="0"/>
    <x v="1"/>
    <x v="7"/>
  </r>
  <r>
    <n v="1064"/>
    <d v="2023-06-21T00:00:00"/>
    <s v="2023"/>
    <x v="6"/>
    <s v="Wednesday"/>
    <x v="0"/>
    <x v="1"/>
    <x v="494"/>
    <n v="46"/>
    <x v="3"/>
    <n v="984.53"/>
    <n v="1138.49"/>
    <x v="1"/>
    <n v="0.04"/>
    <x v="1"/>
    <x v="0"/>
    <x v="1"/>
  </r>
  <r>
    <n v="1063"/>
    <d v="2023-04-12T00:00:00"/>
    <s v="2023"/>
    <x v="1"/>
    <s v="Wednesday"/>
    <x v="2"/>
    <x v="0"/>
    <x v="495"/>
    <n v="40"/>
    <x v="3"/>
    <n v="2101.3200000000002"/>
    <n v="2440.63"/>
    <x v="1"/>
    <n v="0.26"/>
    <x v="1"/>
    <x v="1"/>
    <x v="19"/>
  </r>
  <r>
    <n v="1069"/>
    <d v="2023-12-20T00:00:00"/>
    <s v="2023"/>
    <x v="9"/>
    <s v="Wednesday"/>
    <x v="3"/>
    <x v="0"/>
    <x v="496"/>
    <n v="12"/>
    <x v="0"/>
    <n v="4682.34"/>
    <n v="5036.3999999999996"/>
    <x v="1"/>
    <n v="0.2"/>
    <x v="1"/>
    <x v="1"/>
    <x v="7"/>
  </r>
  <r>
    <n v="1022"/>
    <d v="2023-01-12T00:00:00"/>
    <s v="2023"/>
    <x v="5"/>
    <s v="Thursday"/>
    <x v="3"/>
    <x v="3"/>
    <x v="497"/>
    <n v="13"/>
    <x v="1"/>
    <n v="2312.4499999999998"/>
    <n v="2504.6"/>
    <x v="0"/>
    <n v="0.06"/>
    <x v="1"/>
    <x v="0"/>
    <x v="14"/>
  </r>
  <r>
    <n v="1093"/>
    <d v="2023-10-02T00:00:00"/>
    <s v="2023"/>
    <x v="7"/>
    <s v="Monday"/>
    <x v="0"/>
    <x v="1"/>
    <x v="498"/>
    <n v="43"/>
    <x v="3"/>
    <n v="1486.76"/>
    <n v="1505.44"/>
    <x v="1"/>
    <n v="0.08"/>
    <x v="0"/>
    <x v="1"/>
    <x v="1"/>
  </r>
  <r>
    <n v="1067"/>
    <d v="2023-04-11T00:00:00"/>
    <s v="2023"/>
    <x v="1"/>
    <s v="Tuesday"/>
    <x v="0"/>
    <x v="3"/>
    <x v="499"/>
    <n v="17"/>
    <x v="1"/>
    <n v="2831.58"/>
    <n v="3186.15"/>
    <x v="1"/>
    <n v="0.24"/>
    <x v="1"/>
    <x v="1"/>
    <x v="12"/>
  </r>
  <r>
    <n v="1076"/>
    <d v="2023-02-13T00:00:00"/>
    <s v="2023"/>
    <x v="0"/>
    <s v="Monday"/>
    <x v="3"/>
    <x v="0"/>
    <x v="500"/>
    <n v="17"/>
    <x v="2"/>
    <n v="604.08000000000004"/>
    <n v="624.71"/>
    <x v="1"/>
    <n v="0.14000000000000001"/>
    <x v="1"/>
    <x v="1"/>
    <x v="7"/>
  </r>
  <r>
    <n v="1026"/>
    <d v="2023-11-01T00:00:00"/>
    <s v="2023"/>
    <x v="8"/>
    <s v="Wednesday"/>
    <x v="4"/>
    <x v="2"/>
    <x v="501"/>
    <n v="36"/>
    <x v="2"/>
    <n v="3067.05"/>
    <n v="3386.33"/>
    <x v="1"/>
    <n v="0.2"/>
    <x v="1"/>
    <x v="0"/>
    <x v="9"/>
  </r>
  <r>
    <n v="1016"/>
    <d v="2023-01-17T00:00:00"/>
    <s v="2023"/>
    <x v="5"/>
    <s v="Tuesday"/>
    <x v="3"/>
    <x v="1"/>
    <x v="502"/>
    <n v="21"/>
    <x v="3"/>
    <n v="2863.74"/>
    <n v="2953.91"/>
    <x v="1"/>
    <n v="0.1"/>
    <x v="1"/>
    <x v="1"/>
    <x v="8"/>
  </r>
  <r>
    <n v="1051"/>
    <d v="2023-11-26T00:00:00"/>
    <s v="2023"/>
    <x v="8"/>
    <s v="Sunday"/>
    <x v="3"/>
    <x v="2"/>
    <x v="503"/>
    <n v="8"/>
    <x v="1"/>
    <n v="3970.37"/>
    <n v="4257.5199999999904"/>
    <x v="1"/>
    <n v="0.11"/>
    <x v="0"/>
    <x v="1"/>
    <x v="6"/>
  </r>
  <r>
    <n v="1086"/>
    <d v="2023-02-26T00:00:00"/>
    <s v="2023"/>
    <x v="0"/>
    <s v="Sunday"/>
    <x v="0"/>
    <x v="1"/>
    <x v="504"/>
    <n v="5"/>
    <x v="3"/>
    <n v="4934.1000000000004"/>
    <n v="5191.0200000000004"/>
    <x v="1"/>
    <n v="0.3"/>
    <x v="1"/>
    <x v="0"/>
    <x v="1"/>
  </r>
  <r>
    <n v="1057"/>
    <d v="2023-11-07T00:00:00"/>
    <s v="2023"/>
    <x v="8"/>
    <s v="Tuesday"/>
    <x v="0"/>
    <x v="3"/>
    <x v="505"/>
    <n v="26"/>
    <x v="2"/>
    <n v="1291.82"/>
    <n v="1308.4399999999901"/>
    <x v="0"/>
    <n v="7.0000000000000007E-2"/>
    <x v="2"/>
    <x v="0"/>
    <x v="12"/>
  </r>
  <r>
    <n v="1029"/>
    <d v="2023-10-30T00:00:00"/>
    <s v="2023"/>
    <x v="7"/>
    <s v="Monday"/>
    <x v="3"/>
    <x v="3"/>
    <x v="506"/>
    <n v="16"/>
    <x v="3"/>
    <n v="2572.8000000000002"/>
    <n v="2760.6"/>
    <x v="0"/>
    <n v="0.15"/>
    <x v="2"/>
    <x v="1"/>
    <x v="14"/>
  </r>
  <r>
    <n v="1078"/>
    <d v="2023-01-12T00:00:00"/>
    <s v="2023"/>
    <x v="5"/>
    <s v="Thursday"/>
    <x v="3"/>
    <x v="3"/>
    <x v="507"/>
    <n v="36"/>
    <x v="1"/>
    <n v="4548.88"/>
    <n v="4853.41"/>
    <x v="0"/>
    <n v="0.25"/>
    <x v="2"/>
    <x v="1"/>
    <x v="14"/>
  </r>
  <r>
    <n v="1092"/>
    <d v="2023-11-14T00:00:00"/>
    <s v="2023"/>
    <x v="8"/>
    <s v="Tuesday"/>
    <x v="3"/>
    <x v="3"/>
    <x v="508"/>
    <n v="28"/>
    <x v="2"/>
    <n v="3936.69"/>
    <n v="4362.51"/>
    <x v="0"/>
    <n v="7.0000000000000007E-2"/>
    <x v="2"/>
    <x v="1"/>
    <x v="14"/>
  </r>
  <r>
    <n v="1069"/>
    <d v="2023-03-21T00:00:00"/>
    <s v="2023"/>
    <x v="4"/>
    <s v="Tuesday"/>
    <x v="0"/>
    <x v="3"/>
    <x v="509"/>
    <n v="29"/>
    <x v="0"/>
    <n v="2462.66"/>
    <n v="2908.0899999999901"/>
    <x v="1"/>
    <n v="0.12"/>
    <x v="2"/>
    <x v="0"/>
    <x v="12"/>
  </r>
  <r>
    <n v="1047"/>
    <d v="2023-08-04T00:00:00"/>
    <s v="2023"/>
    <x v="3"/>
    <s v="Friday"/>
    <x v="3"/>
    <x v="2"/>
    <x v="510"/>
    <n v="47"/>
    <x v="2"/>
    <n v="4729.59"/>
    <n v="4976.68"/>
    <x v="0"/>
    <n v="0.18"/>
    <x v="2"/>
    <x v="1"/>
    <x v="6"/>
  </r>
  <r>
    <n v="1094"/>
    <d v="2023-12-05T00:00:00"/>
    <s v="2023"/>
    <x v="9"/>
    <s v="Tuesday"/>
    <x v="3"/>
    <x v="3"/>
    <x v="511"/>
    <n v="12"/>
    <x v="0"/>
    <n v="333.32"/>
    <n v="700.25"/>
    <x v="0"/>
    <n v="0.14000000000000001"/>
    <x v="0"/>
    <x v="0"/>
    <x v="14"/>
  </r>
  <r>
    <n v="1062"/>
    <d v="2023-09-21T00:00:00"/>
    <s v="2023"/>
    <x v="2"/>
    <s v="Thursday"/>
    <x v="1"/>
    <x v="0"/>
    <x v="512"/>
    <n v="37"/>
    <x v="3"/>
    <n v="4658.4399999999996"/>
    <n v="4823.5"/>
    <x v="0"/>
    <n v="0.14000000000000001"/>
    <x v="2"/>
    <x v="0"/>
    <x v="11"/>
  </r>
  <r>
    <n v="1069"/>
    <d v="2023-05-29T00:00:00"/>
    <s v="2023"/>
    <x v="10"/>
    <s v="Monday"/>
    <x v="4"/>
    <x v="0"/>
    <x v="513"/>
    <n v="30"/>
    <x v="3"/>
    <n v="300.01"/>
    <n v="477.67999999999898"/>
    <x v="1"/>
    <n v="0.11"/>
    <x v="1"/>
    <x v="1"/>
    <x v="15"/>
  </r>
  <r>
    <n v="1076"/>
    <d v="2023-03-22T00:00:00"/>
    <s v="2023"/>
    <x v="4"/>
    <s v="Wednesday"/>
    <x v="2"/>
    <x v="2"/>
    <x v="514"/>
    <n v="23"/>
    <x v="1"/>
    <n v="2759.16"/>
    <n v="2864.45"/>
    <x v="0"/>
    <n v="0.18"/>
    <x v="2"/>
    <x v="1"/>
    <x v="10"/>
  </r>
  <r>
    <n v="1016"/>
    <d v="2023-08-03T00:00:00"/>
    <s v="2023"/>
    <x v="3"/>
    <s v="Thursday"/>
    <x v="4"/>
    <x v="1"/>
    <x v="515"/>
    <n v="16"/>
    <x v="0"/>
    <n v="4457.68"/>
    <n v="4743.03"/>
    <x v="0"/>
    <n v="0.19"/>
    <x v="0"/>
    <x v="0"/>
    <x v="17"/>
  </r>
  <r>
    <n v="1090"/>
    <d v="2023-07-17T00:00:00"/>
    <s v="2023"/>
    <x v="11"/>
    <s v="Monday"/>
    <x v="1"/>
    <x v="0"/>
    <x v="516"/>
    <n v="14"/>
    <x v="3"/>
    <n v="1350.47"/>
    <n v="1514.61"/>
    <x v="1"/>
    <n v="0.2"/>
    <x v="2"/>
    <x v="1"/>
    <x v="11"/>
  </r>
  <r>
    <n v="1090"/>
    <d v="2023-07-19T00:00:00"/>
    <s v="2023"/>
    <x v="11"/>
    <s v="Wednesday"/>
    <x v="2"/>
    <x v="1"/>
    <x v="517"/>
    <n v="10"/>
    <x v="0"/>
    <n v="2387.63"/>
    <n v="2438.9699999999998"/>
    <x v="0"/>
    <n v="0.02"/>
    <x v="1"/>
    <x v="1"/>
    <x v="5"/>
  </r>
  <r>
    <n v="1048"/>
    <d v="2023-01-25T00:00:00"/>
    <s v="2023"/>
    <x v="5"/>
    <s v="Wednesday"/>
    <x v="3"/>
    <x v="2"/>
    <x v="518"/>
    <n v="7"/>
    <x v="3"/>
    <n v="1655.43"/>
    <n v="2001.08"/>
    <x v="1"/>
    <n v="0.19"/>
    <x v="1"/>
    <x v="0"/>
    <x v="6"/>
  </r>
  <r>
    <n v="1085"/>
    <d v="2023-03-30T00:00:00"/>
    <s v="2023"/>
    <x v="4"/>
    <s v="Thursday"/>
    <x v="1"/>
    <x v="1"/>
    <x v="519"/>
    <n v="45"/>
    <x v="2"/>
    <n v="4763.1099999999997"/>
    <n v="5119.91"/>
    <x v="0"/>
    <n v="0.28999999999999998"/>
    <x v="0"/>
    <x v="1"/>
    <x v="13"/>
  </r>
  <r>
    <n v="1039"/>
    <d v="2023-09-25T00:00:00"/>
    <s v="2023"/>
    <x v="2"/>
    <s v="Monday"/>
    <x v="3"/>
    <x v="1"/>
    <x v="520"/>
    <n v="37"/>
    <x v="3"/>
    <n v="4127.05"/>
    <n v="4313.45"/>
    <x v="1"/>
    <n v="0.16"/>
    <x v="0"/>
    <x v="0"/>
    <x v="8"/>
  </r>
  <r>
    <n v="1100"/>
    <d v="2023-05-23T00:00:00"/>
    <s v="2023"/>
    <x v="10"/>
    <s v="Tuesday"/>
    <x v="0"/>
    <x v="1"/>
    <x v="521"/>
    <n v="29"/>
    <x v="1"/>
    <n v="3559.56"/>
    <n v="3607.15"/>
    <x v="0"/>
    <n v="0.21"/>
    <x v="0"/>
    <x v="1"/>
    <x v="1"/>
  </r>
  <r>
    <n v="1033"/>
    <d v="2023-02-28T00:00:00"/>
    <s v="2023"/>
    <x v="0"/>
    <s v="Tuesday"/>
    <x v="1"/>
    <x v="1"/>
    <x v="522"/>
    <n v="3"/>
    <x v="2"/>
    <n v="2958.75"/>
    <n v="3177.64"/>
    <x v="0"/>
    <n v="0.17"/>
    <x v="0"/>
    <x v="0"/>
    <x v="13"/>
  </r>
  <r>
    <n v="1094"/>
    <d v="2023-12-31T00:00:00"/>
    <s v="2023"/>
    <x v="9"/>
    <s v="Sunday"/>
    <x v="0"/>
    <x v="2"/>
    <x v="523"/>
    <n v="15"/>
    <x v="1"/>
    <n v="4111.93"/>
    <n v="4338.67"/>
    <x v="0"/>
    <n v="0.26"/>
    <x v="2"/>
    <x v="0"/>
    <x v="3"/>
  </r>
  <r>
    <n v="1023"/>
    <d v="2023-01-26T00:00:00"/>
    <s v="2023"/>
    <x v="5"/>
    <s v="Thursday"/>
    <x v="1"/>
    <x v="0"/>
    <x v="524"/>
    <n v="36"/>
    <x v="2"/>
    <n v="1991.72"/>
    <n v="2329.37"/>
    <x v="1"/>
    <n v="0.28000000000000003"/>
    <x v="2"/>
    <x v="1"/>
    <x v="11"/>
  </r>
  <r>
    <n v="1010"/>
    <d v="2023-02-16T00:00:00"/>
    <s v="2023"/>
    <x v="0"/>
    <s v="Thursday"/>
    <x v="1"/>
    <x v="3"/>
    <x v="525"/>
    <n v="47"/>
    <x v="0"/>
    <n v="2265.38"/>
    <n v="2429.9299999999998"/>
    <x v="0"/>
    <n v="0.06"/>
    <x v="1"/>
    <x v="0"/>
    <x v="16"/>
  </r>
  <r>
    <n v="1069"/>
    <d v="2023-10-15T00:00:00"/>
    <s v="2023"/>
    <x v="7"/>
    <s v="Sunday"/>
    <x v="0"/>
    <x v="1"/>
    <x v="526"/>
    <n v="46"/>
    <x v="1"/>
    <n v="3663.51"/>
    <n v="4007.98"/>
    <x v="1"/>
    <n v="0.13"/>
    <x v="0"/>
    <x v="0"/>
    <x v="1"/>
  </r>
  <r>
    <n v="1100"/>
    <d v="2023-09-23T00:00:00"/>
    <s v="2023"/>
    <x v="2"/>
    <s v="Saturday"/>
    <x v="2"/>
    <x v="0"/>
    <x v="527"/>
    <n v="19"/>
    <x v="3"/>
    <n v="1820.89"/>
    <n v="2257.92"/>
    <x v="1"/>
    <n v="0.12"/>
    <x v="0"/>
    <x v="1"/>
    <x v="19"/>
  </r>
  <r>
    <n v="1034"/>
    <d v="2023-01-16T00:00:00"/>
    <s v="2023"/>
    <x v="5"/>
    <s v="Monday"/>
    <x v="4"/>
    <x v="0"/>
    <x v="528"/>
    <n v="13"/>
    <x v="0"/>
    <n v="366.31"/>
    <n v="492.68"/>
    <x v="1"/>
    <n v="0.12"/>
    <x v="2"/>
    <x v="1"/>
    <x v="15"/>
  </r>
  <r>
    <n v="1052"/>
    <d v="2023-07-18T00:00:00"/>
    <s v="2023"/>
    <x v="11"/>
    <s v="Tuesday"/>
    <x v="3"/>
    <x v="2"/>
    <x v="529"/>
    <n v="42"/>
    <x v="3"/>
    <n v="417.96"/>
    <n v="907.63"/>
    <x v="1"/>
    <n v="0.04"/>
    <x v="0"/>
    <x v="1"/>
    <x v="6"/>
  </r>
  <r>
    <n v="1095"/>
    <d v="2023-10-09T00:00:00"/>
    <s v="2023"/>
    <x v="7"/>
    <s v="Monday"/>
    <x v="1"/>
    <x v="0"/>
    <x v="530"/>
    <n v="21"/>
    <x v="2"/>
    <n v="621.04999999999995"/>
    <n v="820.36999999999898"/>
    <x v="0"/>
    <n v="0.24"/>
    <x v="1"/>
    <x v="0"/>
    <x v="11"/>
  </r>
  <r>
    <n v="1010"/>
    <d v="2023-03-27T00:00:00"/>
    <s v="2023"/>
    <x v="4"/>
    <s v="Monday"/>
    <x v="3"/>
    <x v="2"/>
    <x v="531"/>
    <n v="37"/>
    <x v="2"/>
    <n v="4354.92"/>
    <n v="4495.88"/>
    <x v="0"/>
    <n v="0.01"/>
    <x v="1"/>
    <x v="0"/>
    <x v="6"/>
  </r>
  <r>
    <n v="1019"/>
    <d v="2023-09-07T00:00:00"/>
    <s v="2023"/>
    <x v="2"/>
    <s v="Thursday"/>
    <x v="0"/>
    <x v="1"/>
    <x v="532"/>
    <n v="27"/>
    <x v="3"/>
    <n v="2387.52"/>
    <n v="2604.06"/>
    <x v="0"/>
    <n v="0.16"/>
    <x v="0"/>
    <x v="0"/>
    <x v="1"/>
  </r>
  <r>
    <n v="1058"/>
    <d v="2023-09-27T00:00:00"/>
    <s v="2023"/>
    <x v="2"/>
    <s v="Wednesday"/>
    <x v="3"/>
    <x v="1"/>
    <x v="533"/>
    <n v="29"/>
    <x v="3"/>
    <n v="3578.77"/>
    <n v="3635.02"/>
    <x v="1"/>
    <n v="0.2"/>
    <x v="1"/>
    <x v="1"/>
    <x v="8"/>
  </r>
  <r>
    <n v="1096"/>
    <d v="2023-12-01T00:00:00"/>
    <s v="2023"/>
    <x v="9"/>
    <s v="Friday"/>
    <x v="0"/>
    <x v="3"/>
    <x v="534"/>
    <n v="20"/>
    <x v="0"/>
    <n v="1994.9"/>
    <n v="2066.5"/>
    <x v="0"/>
    <n v="0.06"/>
    <x v="1"/>
    <x v="0"/>
    <x v="12"/>
  </r>
  <r>
    <n v="1001"/>
    <d v="2023-04-27T00:00:00"/>
    <s v="2023"/>
    <x v="1"/>
    <s v="Thursday"/>
    <x v="3"/>
    <x v="3"/>
    <x v="535"/>
    <n v="25"/>
    <x v="3"/>
    <n v="1330.62"/>
    <n v="1543.6899999999901"/>
    <x v="1"/>
    <n v="0.27"/>
    <x v="2"/>
    <x v="0"/>
    <x v="14"/>
  </r>
  <r>
    <n v="1069"/>
    <d v="2023-01-07T00:00:00"/>
    <s v="2023"/>
    <x v="5"/>
    <s v="Saturday"/>
    <x v="4"/>
    <x v="3"/>
    <x v="536"/>
    <n v="6"/>
    <x v="1"/>
    <n v="1768.6"/>
    <n v="2152.1999999999998"/>
    <x v="1"/>
    <n v="0.25"/>
    <x v="1"/>
    <x v="1"/>
    <x v="18"/>
  </r>
  <r>
    <n v="1004"/>
    <d v="2023-05-17T00:00:00"/>
    <s v="2023"/>
    <x v="10"/>
    <s v="Wednesday"/>
    <x v="4"/>
    <x v="0"/>
    <x v="537"/>
    <n v="36"/>
    <x v="1"/>
    <n v="3981.2"/>
    <n v="4432.3499999999904"/>
    <x v="1"/>
    <n v="0.14000000000000001"/>
    <x v="0"/>
    <x v="0"/>
    <x v="15"/>
  </r>
  <r>
    <n v="1016"/>
    <d v="2023-06-25T00:00:00"/>
    <s v="2023"/>
    <x v="6"/>
    <s v="Sunday"/>
    <x v="4"/>
    <x v="1"/>
    <x v="538"/>
    <n v="2"/>
    <x v="3"/>
    <n v="3144.82"/>
    <n v="3480.58"/>
    <x v="0"/>
    <n v="0.12"/>
    <x v="0"/>
    <x v="1"/>
    <x v="17"/>
  </r>
  <r>
    <n v="1024"/>
    <d v="2023-11-24T00:00:00"/>
    <s v="2023"/>
    <x v="8"/>
    <s v="Friday"/>
    <x v="4"/>
    <x v="2"/>
    <x v="539"/>
    <n v="22"/>
    <x v="1"/>
    <n v="4691.32"/>
    <n v="4752.88"/>
    <x v="0"/>
    <n v="7.0000000000000007E-2"/>
    <x v="1"/>
    <x v="1"/>
    <x v="9"/>
  </r>
  <r>
    <n v="1080"/>
    <d v="2023-11-11T00:00:00"/>
    <s v="2023"/>
    <x v="8"/>
    <s v="Saturday"/>
    <x v="4"/>
    <x v="3"/>
    <x v="540"/>
    <n v="32"/>
    <x v="3"/>
    <n v="3414.54"/>
    <n v="3753.83"/>
    <x v="1"/>
    <n v="0.22"/>
    <x v="0"/>
    <x v="1"/>
    <x v="18"/>
  </r>
  <r>
    <n v="1002"/>
    <d v="2023-08-03T00:00:00"/>
    <s v="2023"/>
    <x v="3"/>
    <s v="Thursday"/>
    <x v="4"/>
    <x v="2"/>
    <x v="541"/>
    <n v="16"/>
    <x v="0"/>
    <n v="2872.4"/>
    <n v="3193.76"/>
    <x v="0"/>
    <n v="0.04"/>
    <x v="2"/>
    <x v="0"/>
    <x v="9"/>
  </r>
  <r>
    <n v="1092"/>
    <d v="2023-03-23T00:00:00"/>
    <s v="2023"/>
    <x v="4"/>
    <s v="Thursday"/>
    <x v="0"/>
    <x v="2"/>
    <x v="542"/>
    <n v="18"/>
    <x v="1"/>
    <n v="3070.47"/>
    <n v="3475.29"/>
    <x v="0"/>
    <n v="0.2"/>
    <x v="1"/>
    <x v="0"/>
    <x v="3"/>
  </r>
  <r>
    <n v="1032"/>
    <d v="2023-08-11T00:00:00"/>
    <s v="2023"/>
    <x v="3"/>
    <s v="Friday"/>
    <x v="1"/>
    <x v="3"/>
    <x v="543"/>
    <n v="5"/>
    <x v="1"/>
    <n v="4714.74"/>
    <n v="5129.1099999999997"/>
    <x v="1"/>
    <n v="0.25"/>
    <x v="1"/>
    <x v="0"/>
    <x v="16"/>
  </r>
  <r>
    <n v="1091"/>
    <d v="2023-04-13T00:00:00"/>
    <s v="2023"/>
    <x v="1"/>
    <s v="Thursday"/>
    <x v="3"/>
    <x v="1"/>
    <x v="544"/>
    <n v="36"/>
    <x v="3"/>
    <n v="3951.59"/>
    <n v="4387.01"/>
    <x v="1"/>
    <n v="7.0000000000000007E-2"/>
    <x v="1"/>
    <x v="1"/>
    <x v="8"/>
  </r>
  <r>
    <n v="1084"/>
    <d v="2023-09-30T00:00:00"/>
    <s v="2023"/>
    <x v="2"/>
    <s v="Saturday"/>
    <x v="4"/>
    <x v="3"/>
    <x v="545"/>
    <n v="30"/>
    <x v="1"/>
    <n v="169"/>
    <n v="381.91999999999899"/>
    <x v="0"/>
    <n v="0.26"/>
    <x v="0"/>
    <x v="1"/>
    <x v="18"/>
  </r>
  <r>
    <n v="1024"/>
    <d v="2023-01-14T00:00:00"/>
    <s v="2023"/>
    <x v="5"/>
    <s v="Saturday"/>
    <x v="0"/>
    <x v="2"/>
    <x v="546"/>
    <n v="45"/>
    <x v="2"/>
    <n v="2693.99"/>
    <n v="3045.9399999999901"/>
    <x v="1"/>
    <n v="0.01"/>
    <x v="0"/>
    <x v="1"/>
    <x v="3"/>
  </r>
  <r>
    <n v="1012"/>
    <d v="2023-06-08T00:00:00"/>
    <s v="2023"/>
    <x v="6"/>
    <s v="Thursday"/>
    <x v="0"/>
    <x v="3"/>
    <x v="547"/>
    <n v="19"/>
    <x v="0"/>
    <n v="3457.28"/>
    <n v="3598.72"/>
    <x v="1"/>
    <n v="0.27"/>
    <x v="1"/>
    <x v="0"/>
    <x v="12"/>
  </r>
  <r>
    <n v="1050"/>
    <d v="2023-06-01T00:00:00"/>
    <s v="2023"/>
    <x v="6"/>
    <s v="Thursday"/>
    <x v="0"/>
    <x v="2"/>
    <x v="548"/>
    <n v="23"/>
    <x v="0"/>
    <n v="3756.06"/>
    <n v="4255.7299999999996"/>
    <x v="0"/>
    <n v="0.04"/>
    <x v="0"/>
    <x v="0"/>
    <x v="3"/>
  </r>
  <r>
    <n v="1035"/>
    <d v="2023-04-18T00:00:00"/>
    <s v="2023"/>
    <x v="1"/>
    <s v="Tuesday"/>
    <x v="1"/>
    <x v="2"/>
    <x v="549"/>
    <n v="34"/>
    <x v="1"/>
    <n v="1105.05"/>
    <n v="1200.96"/>
    <x v="0"/>
    <n v="0.19"/>
    <x v="0"/>
    <x v="0"/>
    <x v="2"/>
  </r>
  <r>
    <n v="1033"/>
    <d v="2023-07-07T00:00:00"/>
    <s v="2023"/>
    <x v="11"/>
    <s v="Friday"/>
    <x v="3"/>
    <x v="3"/>
    <x v="550"/>
    <n v="13"/>
    <x v="1"/>
    <n v="4342.53"/>
    <n v="4357.49"/>
    <x v="1"/>
    <n v="0.08"/>
    <x v="1"/>
    <x v="0"/>
    <x v="14"/>
  </r>
  <r>
    <n v="1033"/>
    <d v="2023-10-28T00:00:00"/>
    <s v="2023"/>
    <x v="7"/>
    <s v="Saturday"/>
    <x v="1"/>
    <x v="0"/>
    <x v="551"/>
    <n v="43"/>
    <x v="2"/>
    <n v="4781.42"/>
    <n v="4864.34"/>
    <x v="0"/>
    <n v="0.25"/>
    <x v="1"/>
    <x v="0"/>
    <x v="11"/>
  </r>
  <r>
    <n v="1061"/>
    <d v="2023-04-08T00:00:00"/>
    <s v="2023"/>
    <x v="1"/>
    <s v="Saturday"/>
    <x v="2"/>
    <x v="3"/>
    <x v="552"/>
    <n v="29"/>
    <x v="2"/>
    <n v="1221.74"/>
    <n v="1611.92"/>
    <x v="1"/>
    <n v="0.15"/>
    <x v="0"/>
    <x v="1"/>
    <x v="4"/>
  </r>
  <r>
    <n v="1051"/>
    <d v="2023-05-11T00:00:00"/>
    <s v="2023"/>
    <x v="10"/>
    <s v="Thursday"/>
    <x v="0"/>
    <x v="0"/>
    <x v="553"/>
    <n v="36"/>
    <x v="1"/>
    <n v="4418.95"/>
    <n v="4647.87"/>
    <x v="1"/>
    <n v="0.04"/>
    <x v="1"/>
    <x v="0"/>
    <x v="0"/>
  </r>
  <r>
    <n v="1043"/>
    <d v="2023-10-20T00:00:00"/>
    <s v="2023"/>
    <x v="7"/>
    <s v="Friday"/>
    <x v="2"/>
    <x v="2"/>
    <x v="554"/>
    <n v="22"/>
    <x v="1"/>
    <n v="530.04"/>
    <n v="759.31999999999903"/>
    <x v="0"/>
    <n v="0.17"/>
    <x v="1"/>
    <x v="1"/>
    <x v="10"/>
  </r>
  <r>
    <n v="1012"/>
    <d v="2023-06-20T00:00:00"/>
    <s v="2023"/>
    <x v="6"/>
    <s v="Tuesday"/>
    <x v="4"/>
    <x v="2"/>
    <x v="555"/>
    <n v="47"/>
    <x v="2"/>
    <n v="325.75"/>
    <n v="803.71"/>
    <x v="1"/>
    <n v="0.12"/>
    <x v="1"/>
    <x v="1"/>
    <x v="9"/>
  </r>
  <r>
    <n v="1067"/>
    <d v="2023-07-02T00:00:00"/>
    <s v="2023"/>
    <x v="11"/>
    <s v="Sunday"/>
    <x v="4"/>
    <x v="0"/>
    <x v="556"/>
    <n v="36"/>
    <x v="3"/>
    <n v="689.66"/>
    <n v="1150.28"/>
    <x v="1"/>
    <n v="0.2"/>
    <x v="1"/>
    <x v="0"/>
    <x v="15"/>
  </r>
  <r>
    <n v="1065"/>
    <d v="2023-12-30T00:00:00"/>
    <s v="2023"/>
    <x v="9"/>
    <s v="Saturday"/>
    <x v="1"/>
    <x v="2"/>
    <x v="557"/>
    <n v="9"/>
    <x v="2"/>
    <n v="335.82"/>
    <n v="498.31"/>
    <x v="1"/>
    <n v="0.26"/>
    <x v="0"/>
    <x v="1"/>
    <x v="2"/>
  </r>
  <r>
    <n v="1033"/>
    <d v="2023-02-08T00:00:00"/>
    <s v="2023"/>
    <x v="0"/>
    <s v="Wednesday"/>
    <x v="3"/>
    <x v="0"/>
    <x v="558"/>
    <n v="39"/>
    <x v="3"/>
    <n v="4232.8100000000004"/>
    <n v="4345.25"/>
    <x v="0"/>
    <n v="0.12"/>
    <x v="1"/>
    <x v="0"/>
    <x v="7"/>
  </r>
  <r>
    <n v="1040"/>
    <d v="2023-01-15T00:00:00"/>
    <s v="2023"/>
    <x v="5"/>
    <s v="Sunday"/>
    <x v="2"/>
    <x v="0"/>
    <x v="559"/>
    <n v="19"/>
    <x v="0"/>
    <n v="342.3"/>
    <n v="768.06"/>
    <x v="0"/>
    <n v="0.09"/>
    <x v="2"/>
    <x v="0"/>
    <x v="19"/>
  </r>
  <r>
    <n v="1074"/>
    <d v="2023-01-04T00:00:00"/>
    <s v="2023"/>
    <x v="5"/>
    <s v="Wednesday"/>
    <x v="3"/>
    <x v="2"/>
    <x v="560"/>
    <n v="38"/>
    <x v="0"/>
    <n v="1394.74"/>
    <n v="1848.69"/>
    <x v="0"/>
    <n v="0"/>
    <x v="1"/>
    <x v="1"/>
    <x v="6"/>
  </r>
  <r>
    <n v="1043"/>
    <d v="2023-12-15T00:00:00"/>
    <s v="2023"/>
    <x v="9"/>
    <s v="Friday"/>
    <x v="1"/>
    <x v="1"/>
    <x v="561"/>
    <n v="6"/>
    <x v="2"/>
    <n v="563.59"/>
    <n v="838.97"/>
    <x v="1"/>
    <n v="0.17"/>
    <x v="2"/>
    <x v="0"/>
    <x v="13"/>
  </r>
  <r>
    <n v="1044"/>
    <d v="2023-07-29T00:00:00"/>
    <s v="2023"/>
    <x v="11"/>
    <s v="Saturday"/>
    <x v="4"/>
    <x v="0"/>
    <x v="562"/>
    <n v="47"/>
    <x v="3"/>
    <n v="1512.34"/>
    <n v="1830.76"/>
    <x v="1"/>
    <n v="0.12"/>
    <x v="1"/>
    <x v="0"/>
    <x v="15"/>
  </r>
  <r>
    <n v="1029"/>
    <d v="2023-06-10T00:00:00"/>
    <s v="2023"/>
    <x v="6"/>
    <s v="Saturday"/>
    <x v="3"/>
    <x v="3"/>
    <x v="563"/>
    <n v="15"/>
    <x v="2"/>
    <n v="498.27"/>
    <n v="634.16"/>
    <x v="0"/>
    <n v="0.11"/>
    <x v="2"/>
    <x v="1"/>
    <x v="14"/>
  </r>
  <r>
    <n v="1013"/>
    <d v="2023-01-16T00:00:00"/>
    <s v="2023"/>
    <x v="5"/>
    <s v="Monday"/>
    <x v="3"/>
    <x v="3"/>
    <x v="564"/>
    <n v="20"/>
    <x v="2"/>
    <n v="3356.62"/>
    <n v="3759.0099999999902"/>
    <x v="0"/>
    <n v="0.05"/>
    <x v="2"/>
    <x v="1"/>
    <x v="14"/>
  </r>
  <r>
    <n v="1012"/>
    <d v="2023-04-18T00:00:00"/>
    <s v="2023"/>
    <x v="1"/>
    <s v="Tuesday"/>
    <x v="4"/>
    <x v="2"/>
    <x v="565"/>
    <n v="9"/>
    <x v="3"/>
    <n v="709.97"/>
    <n v="1029.71"/>
    <x v="0"/>
    <n v="0.13"/>
    <x v="1"/>
    <x v="1"/>
    <x v="9"/>
  </r>
  <r>
    <n v="1095"/>
    <d v="2023-11-07T00:00:00"/>
    <s v="2023"/>
    <x v="8"/>
    <s v="Tuesday"/>
    <x v="2"/>
    <x v="1"/>
    <x v="566"/>
    <n v="32"/>
    <x v="2"/>
    <n v="4266.6400000000003"/>
    <n v="4523.3599999999997"/>
    <x v="1"/>
    <n v="0.3"/>
    <x v="1"/>
    <x v="1"/>
    <x v="5"/>
  </r>
  <r>
    <n v="1046"/>
    <d v="2023-08-15T00:00:00"/>
    <s v="2023"/>
    <x v="3"/>
    <s v="Tuesday"/>
    <x v="4"/>
    <x v="2"/>
    <x v="567"/>
    <n v="4"/>
    <x v="0"/>
    <n v="4095.1"/>
    <n v="4134.55"/>
    <x v="0"/>
    <n v="0.09"/>
    <x v="1"/>
    <x v="1"/>
    <x v="9"/>
  </r>
  <r>
    <n v="1002"/>
    <d v="2023-06-19T00:00:00"/>
    <s v="2023"/>
    <x v="6"/>
    <s v="Monday"/>
    <x v="3"/>
    <x v="1"/>
    <x v="568"/>
    <n v="18"/>
    <x v="1"/>
    <n v="117.63"/>
    <n v="576.44000000000005"/>
    <x v="1"/>
    <n v="0.18"/>
    <x v="2"/>
    <x v="1"/>
    <x v="8"/>
  </r>
  <r>
    <n v="1035"/>
    <d v="2023-02-03T00:00:00"/>
    <s v="2023"/>
    <x v="0"/>
    <s v="Friday"/>
    <x v="2"/>
    <x v="0"/>
    <x v="569"/>
    <n v="5"/>
    <x v="1"/>
    <n v="4483.8500000000004"/>
    <n v="4795.42"/>
    <x v="0"/>
    <n v="0.23"/>
    <x v="0"/>
    <x v="0"/>
    <x v="19"/>
  </r>
  <r>
    <n v="1087"/>
    <d v="2023-09-08T00:00:00"/>
    <s v="2023"/>
    <x v="2"/>
    <s v="Friday"/>
    <x v="2"/>
    <x v="0"/>
    <x v="570"/>
    <n v="20"/>
    <x v="2"/>
    <n v="193.27"/>
    <n v="297.69"/>
    <x v="1"/>
    <n v="0.22"/>
    <x v="0"/>
    <x v="0"/>
    <x v="19"/>
  </r>
  <r>
    <n v="1081"/>
    <d v="2023-09-04T00:00:00"/>
    <s v="2023"/>
    <x v="2"/>
    <s v="Monday"/>
    <x v="4"/>
    <x v="0"/>
    <x v="571"/>
    <n v="23"/>
    <x v="3"/>
    <n v="1236.25"/>
    <n v="1543.38"/>
    <x v="1"/>
    <n v="0.1"/>
    <x v="1"/>
    <x v="0"/>
    <x v="15"/>
  </r>
  <r>
    <n v="1090"/>
    <d v="2023-09-26T00:00:00"/>
    <s v="2023"/>
    <x v="2"/>
    <s v="Tuesday"/>
    <x v="3"/>
    <x v="0"/>
    <x v="572"/>
    <n v="11"/>
    <x v="3"/>
    <n v="210.33"/>
    <n v="552.29"/>
    <x v="0"/>
    <n v="0.18"/>
    <x v="0"/>
    <x v="1"/>
    <x v="7"/>
  </r>
  <r>
    <n v="1008"/>
    <d v="2023-05-21T00:00:00"/>
    <s v="2023"/>
    <x v="10"/>
    <s v="Sunday"/>
    <x v="1"/>
    <x v="3"/>
    <x v="573"/>
    <n v="37"/>
    <x v="0"/>
    <n v="1712.43"/>
    <n v="1980.06"/>
    <x v="1"/>
    <n v="0.26"/>
    <x v="0"/>
    <x v="0"/>
    <x v="16"/>
  </r>
  <r>
    <n v="1093"/>
    <d v="2023-10-01T00:00:00"/>
    <s v="2023"/>
    <x v="7"/>
    <s v="Sunday"/>
    <x v="3"/>
    <x v="3"/>
    <x v="574"/>
    <n v="22"/>
    <x v="3"/>
    <n v="2593.64"/>
    <n v="2955.5099999999902"/>
    <x v="0"/>
    <n v="0"/>
    <x v="1"/>
    <x v="1"/>
    <x v="14"/>
  </r>
  <r>
    <n v="1026"/>
    <d v="2023-04-06T00:00:00"/>
    <s v="2023"/>
    <x v="1"/>
    <s v="Thursday"/>
    <x v="0"/>
    <x v="2"/>
    <x v="575"/>
    <n v="4"/>
    <x v="3"/>
    <n v="3993.39"/>
    <n v="4288.3"/>
    <x v="1"/>
    <n v="0.13"/>
    <x v="2"/>
    <x v="0"/>
    <x v="3"/>
  </r>
  <r>
    <n v="1074"/>
    <d v="2023-08-15T00:00:00"/>
    <s v="2023"/>
    <x v="3"/>
    <s v="Tuesday"/>
    <x v="1"/>
    <x v="1"/>
    <x v="576"/>
    <n v="29"/>
    <x v="0"/>
    <n v="1723.01"/>
    <n v="2197.42"/>
    <x v="1"/>
    <n v="7.0000000000000007E-2"/>
    <x v="1"/>
    <x v="1"/>
    <x v="13"/>
  </r>
  <r>
    <n v="1090"/>
    <d v="2023-02-08T00:00:00"/>
    <s v="2023"/>
    <x v="0"/>
    <s v="Wednesday"/>
    <x v="2"/>
    <x v="0"/>
    <x v="577"/>
    <n v="44"/>
    <x v="2"/>
    <n v="3542.18"/>
    <n v="3578.49"/>
    <x v="0"/>
    <n v="0.12"/>
    <x v="0"/>
    <x v="0"/>
    <x v="19"/>
  </r>
  <r>
    <n v="1034"/>
    <d v="2023-10-29T00:00:00"/>
    <s v="2023"/>
    <x v="7"/>
    <s v="Sunday"/>
    <x v="1"/>
    <x v="0"/>
    <x v="578"/>
    <n v="34"/>
    <x v="1"/>
    <n v="978.15"/>
    <n v="1040.21"/>
    <x v="1"/>
    <n v="0.12"/>
    <x v="2"/>
    <x v="1"/>
    <x v="11"/>
  </r>
  <r>
    <n v="1007"/>
    <d v="2023-01-29T00:00:00"/>
    <s v="2023"/>
    <x v="5"/>
    <s v="Sunday"/>
    <x v="2"/>
    <x v="1"/>
    <x v="579"/>
    <n v="13"/>
    <x v="0"/>
    <n v="3765.46"/>
    <n v="3860.56"/>
    <x v="0"/>
    <n v="0.22"/>
    <x v="0"/>
    <x v="1"/>
    <x v="5"/>
  </r>
  <r>
    <n v="1068"/>
    <d v="2023-11-14T00:00:00"/>
    <s v="2023"/>
    <x v="8"/>
    <s v="Tuesday"/>
    <x v="2"/>
    <x v="1"/>
    <x v="580"/>
    <n v="42"/>
    <x v="2"/>
    <n v="1218.18"/>
    <n v="1566.36"/>
    <x v="0"/>
    <n v="0.03"/>
    <x v="2"/>
    <x v="1"/>
    <x v="5"/>
  </r>
  <r>
    <n v="1058"/>
    <d v="2023-09-02T00:00:00"/>
    <s v="2023"/>
    <x v="2"/>
    <s v="Saturday"/>
    <x v="1"/>
    <x v="2"/>
    <x v="581"/>
    <n v="9"/>
    <x v="0"/>
    <n v="760.55"/>
    <n v="1086.8899999999901"/>
    <x v="0"/>
    <n v="0.15"/>
    <x v="0"/>
    <x v="1"/>
    <x v="2"/>
  </r>
  <r>
    <n v="1075"/>
    <d v="2023-08-24T00:00:00"/>
    <s v="2023"/>
    <x v="3"/>
    <s v="Thursday"/>
    <x v="2"/>
    <x v="1"/>
    <x v="582"/>
    <n v="42"/>
    <x v="2"/>
    <n v="967.77"/>
    <n v="1414.88"/>
    <x v="1"/>
    <n v="0.17"/>
    <x v="1"/>
    <x v="0"/>
    <x v="5"/>
  </r>
  <r>
    <n v="1029"/>
    <d v="2023-07-04T00:00:00"/>
    <s v="2023"/>
    <x v="11"/>
    <s v="Tuesday"/>
    <x v="2"/>
    <x v="0"/>
    <x v="583"/>
    <n v="31"/>
    <x v="0"/>
    <n v="951.21"/>
    <n v="1320.32"/>
    <x v="1"/>
    <n v="0.15"/>
    <x v="0"/>
    <x v="0"/>
    <x v="19"/>
  </r>
  <r>
    <n v="1036"/>
    <d v="2023-09-29T00:00:00"/>
    <s v="2023"/>
    <x v="2"/>
    <s v="Friday"/>
    <x v="0"/>
    <x v="0"/>
    <x v="17"/>
    <n v="7"/>
    <x v="2"/>
    <n v="2588.67"/>
    <n v="2847.76"/>
    <x v="1"/>
    <n v="0.22"/>
    <x v="0"/>
    <x v="1"/>
    <x v="0"/>
  </r>
  <r>
    <n v="1089"/>
    <d v="2023-08-24T00:00:00"/>
    <s v="2023"/>
    <x v="3"/>
    <s v="Thursday"/>
    <x v="3"/>
    <x v="0"/>
    <x v="584"/>
    <n v="4"/>
    <x v="0"/>
    <n v="4231.75"/>
    <n v="4727.75"/>
    <x v="0"/>
    <n v="0.12"/>
    <x v="2"/>
    <x v="1"/>
    <x v="7"/>
  </r>
  <r>
    <n v="1021"/>
    <d v="2023-08-27T00:00:00"/>
    <s v="2023"/>
    <x v="3"/>
    <s v="Sunday"/>
    <x v="3"/>
    <x v="0"/>
    <x v="585"/>
    <n v="19"/>
    <x v="2"/>
    <n v="444.05"/>
    <n v="584.44000000000005"/>
    <x v="0"/>
    <n v="0.28000000000000003"/>
    <x v="0"/>
    <x v="1"/>
    <x v="7"/>
  </r>
  <r>
    <n v="1036"/>
    <d v="2023-09-23T00:00:00"/>
    <s v="2023"/>
    <x v="2"/>
    <s v="Saturday"/>
    <x v="0"/>
    <x v="0"/>
    <x v="586"/>
    <n v="42"/>
    <x v="0"/>
    <n v="3549.43"/>
    <n v="3967.6899999999901"/>
    <x v="1"/>
    <n v="0.14000000000000001"/>
    <x v="1"/>
    <x v="0"/>
    <x v="0"/>
  </r>
  <r>
    <n v="1010"/>
    <d v="2023-12-25T00:00:00"/>
    <s v="2023"/>
    <x v="9"/>
    <s v="Monday"/>
    <x v="1"/>
    <x v="2"/>
    <x v="587"/>
    <n v="30"/>
    <x v="1"/>
    <n v="3289.01"/>
    <n v="3508.14"/>
    <x v="1"/>
    <n v="0.17"/>
    <x v="1"/>
    <x v="1"/>
    <x v="2"/>
  </r>
  <r>
    <n v="1073"/>
    <d v="2023-12-06T00:00:00"/>
    <s v="2023"/>
    <x v="9"/>
    <s v="Wednesday"/>
    <x v="4"/>
    <x v="0"/>
    <x v="588"/>
    <n v="31"/>
    <x v="1"/>
    <n v="4368.97"/>
    <n v="4696.8500000000004"/>
    <x v="0"/>
    <n v="0.25"/>
    <x v="1"/>
    <x v="1"/>
    <x v="15"/>
  </r>
  <r>
    <n v="1024"/>
    <d v="2023-03-06T00:00:00"/>
    <s v="2023"/>
    <x v="4"/>
    <s v="Monday"/>
    <x v="4"/>
    <x v="2"/>
    <x v="589"/>
    <n v="35"/>
    <x v="3"/>
    <n v="1258.53"/>
    <n v="1624.8899999999901"/>
    <x v="1"/>
    <n v="0.08"/>
    <x v="2"/>
    <x v="0"/>
    <x v="9"/>
  </r>
  <r>
    <n v="1064"/>
    <d v="2023-06-26T00:00:00"/>
    <s v="2023"/>
    <x v="6"/>
    <s v="Monday"/>
    <x v="4"/>
    <x v="0"/>
    <x v="590"/>
    <n v="21"/>
    <x v="2"/>
    <n v="2278.04"/>
    <n v="2598.58"/>
    <x v="0"/>
    <n v="0.02"/>
    <x v="2"/>
    <x v="1"/>
    <x v="15"/>
  </r>
  <r>
    <n v="1099"/>
    <d v="2023-01-03T00:00:00"/>
    <s v="2023"/>
    <x v="5"/>
    <s v="Tuesday"/>
    <x v="0"/>
    <x v="3"/>
    <x v="591"/>
    <n v="31"/>
    <x v="0"/>
    <n v="4632.8500000000004"/>
    <n v="4711.7"/>
    <x v="1"/>
    <n v="0.21"/>
    <x v="0"/>
    <x v="1"/>
    <x v="12"/>
  </r>
  <r>
    <n v="1049"/>
    <d v="2023-05-22T00:00:00"/>
    <s v="2023"/>
    <x v="10"/>
    <s v="Monday"/>
    <x v="0"/>
    <x v="3"/>
    <x v="592"/>
    <n v="19"/>
    <x v="2"/>
    <n v="3316.97"/>
    <n v="3544.02"/>
    <x v="0"/>
    <n v="0.14000000000000001"/>
    <x v="0"/>
    <x v="0"/>
    <x v="12"/>
  </r>
  <r>
    <n v="1099"/>
    <d v="2023-06-07T00:00:00"/>
    <s v="2023"/>
    <x v="6"/>
    <s v="Wednesday"/>
    <x v="2"/>
    <x v="3"/>
    <x v="593"/>
    <n v="31"/>
    <x v="1"/>
    <n v="1974.4"/>
    <n v="2259.5"/>
    <x v="1"/>
    <n v="0.27"/>
    <x v="0"/>
    <x v="1"/>
    <x v="4"/>
  </r>
  <r>
    <n v="1036"/>
    <d v="2023-11-20T00:00:00"/>
    <s v="2023"/>
    <x v="8"/>
    <s v="Monday"/>
    <x v="4"/>
    <x v="3"/>
    <x v="594"/>
    <n v="32"/>
    <x v="2"/>
    <n v="700.49"/>
    <n v="1126.52"/>
    <x v="1"/>
    <n v="0.28999999999999998"/>
    <x v="2"/>
    <x v="1"/>
    <x v="18"/>
  </r>
  <r>
    <n v="1082"/>
    <d v="2023-05-26T00:00:00"/>
    <s v="2023"/>
    <x v="10"/>
    <s v="Friday"/>
    <x v="1"/>
    <x v="2"/>
    <x v="595"/>
    <n v="2"/>
    <x v="0"/>
    <n v="1349.3"/>
    <n v="1576.69"/>
    <x v="0"/>
    <n v="0.12"/>
    <x v="2"/>
    <x v="0"/>
    <x v="2"/>
  </r>
  <r>
    <n v="1096"/>
    <d v="2023-10-20T00:00:00"/>
    <s v="2023"/>
    <x v="7"/>
    <s v="Friday"/>
    <x v="1"/>
    <x v="2"/>
    <x v="596"/>
    <n v="10"/>
    <x v="2"/>
    <n v="2927.02"/>
    <n v="3387.21"/>
    <x v="0"/>
    <n v="0.12"/>
    <x v="0"/>
    <x v="1"/>
    <x v="2"/>
  </r>
  <r>
    <n v="1024"/>
    <d v="2023-06-02T00:00:00"/>
    <s v="2023"/>
    <x v="6"/>
    <s v="Friday"/>
    <x v="4"/>
    <x v="1"/>
    <x v="597"/>
    <n v="2"/>
    <x v="0"/>
    <n v="3604.93"/>
    <n v="3830.71"/>
    <x v="0"/>
    <n v="0.12"/>
    <x v="2"/>
    <x v="0"/>
    <x v="17"/>
  </r>
  <r>
    <n v="1023"/>
    <d v="2023-07-12T00:00:00"/>
    <s v="2023"/>
    <x v="11"/>
    <s v="Wednesday"/>
    <x v="4"/>
    <x v="0"/>
    <x v="598"/>
    <n v="2"/>
    <x v="1"/>
    <n v="665.89"/>
    <n v="944.79"/>
    <x v="1"/>
    <n v="0.1"/>
    <x v="2"/>
    <x v="1"/>
    <x v="15"/>
  </r>
  <r>
    <n v="1062"/>
    <d v="2023-03-14T00:00:00"/>
    <s v="2023"/>
    <x v="4"/>
    <s v="Tuesday"/>
    <x v="4"/>
    <x v="3"/>
    <x v="599"/>
    <n v="24"/>
    <x v="1"/>
    <n v="3018.01"/>
    <n v="3418.19"/>
    <x v="0"/>
    <n v="0.23"/>
    <x v="1"/>
    <x v="1"/>
    <x v="18"/>
  </r>
  <r>
    <n v="1096"/>
    <d v="2023-11-01T00:00:00"/>
    <s v="2023"/>
    <x v="8"/>
    <s v="Wednesday"/>
    <x v="0"/>
    <x v="2"/>
    <x v="600"/>
    <n v="17"/>
    <x v="1"/>
    <n v="2774.24"/>
    <n v="3069.9399999999901"/>
    <x v="0"/>
    <n v="0.23"/>
    <x v="1"/>
    <x v="1"/>
    <x v="3"/>
  </r>
  <r>
    <n v="1037"/>
    <d v="2023-12-10T00:00:00"/>
    <s v="2023"/>
    <x v="9"/>
    <s v="Sunday"/>
    <x v="0"/>
    <x v="0"/>
    <x v="601"/>
    <n v="32"/>
    <x v="3"/>
    <n v="2594.08"/>
    <n v="3074.59"/>
    <x v="1"/>
    <n v="0.14000000000000001"/>
    <x v="0"/>
    <x v="1"/>
    <x v="0"/>
  </r>
  <r>
    <n v="1012"/>
    <d v="2023-05-20T00:00:00"/>
    <s v="2023"/>
    <x v="10"/>
    <s v="Saturday"/>
    <x v="0"/>
    <x v="0"/>
    <x v="602"/>
    <n v="16"/>
    <x v="1"/>
    <n v="3466.11"/>
    <n v="3799.67"/>
    <x v="0"/>
    <n v="0.01"/>
    <x v="0"/>
    <x v="1"/>
    <x v="0"/>
  </r>
  <r>
    <n v="1055"/>
    <d v="2023-07-06T00:00:00"/>
    <s v="2023"/>
    <x v="11"/>
    <s v="Thursday"/>
    <x v="3"/>
    <x v="2"/>
    <x v="603"/>
    <n v="16"/>
    <x v="2"/>
    <n v="4195.38"/>
    <n v="4461.51"/>
    <x v="0"/>
    <n v="0.09"/>
    <x v="1"/>
    <x v="0"/>
    <x v="6"/>
  </r>
  <r>
    <n v="1013"/>
    <d v="2023-10-20T00:00:00"/>
    <s v="2023"/>
    <x v="7"/>
    <s v="Friday"/>
    <x v="1"/>
    <x v="3"/>
    <x v="604"/>
    <n v="46"/>
    <x v="3"/>
    <n v="1648.8"/>
    <n v="1670.36"/>
    <x v="0"/>
    <n v="0.09"/>
    <x v="2"/>
    <x v="1"/>
    <x v="16"/>
  </r>
  <r>
    <n v="1023"/>
    <d v="2023-03-02T00:00:00"/>
    <s v="2023"/>
    <x v="4"/>
    <s v="Thursday"/>
    <x v="1"/>
    <x v="1"/>
    <x v="605"/>
    <n v="39"/>
    <x v="1"/>
    <n v="4450.6099999999997"/>
    <n v="4663.3399999999901"/>
    <x v="1"/>
    <n v="0.24"/>
    <x v="0"/>
    <x v="1"/>
    <x v="13"/>
  </r>
  <r>
    <n v="1089"/>
    <d v="2023-07-17T00:00:00"/>
    <s v="2023"/>
    <x v="11"/>
    <s v="Monday"/>
    <x v="2"/>
    <x v="0"/>
    <x v="606"/>
    <n v="31"/>
    <x v="2"/>
    <n v="845.14"/>
    <n v="1001.77"/>
    <x v="1"/>
    <n v="0.03"/>
    <x v="0"/>
    <x v="0"/>
    <x v="19"/>
  </r>
  <r>
    <n v="1099"/>
    <d v="2023-10-22T00:00:00"/>
    <s v="2023"/>
    <x v="7"/>
    <s v="Sunday"/>
    <x v="0"/>
    <x v="1"/>
    <x v="607"/>
    <n v="43"/>
    <x v="2"/>
    <n v="906.47"/>
    <n v="1283.04"/>
    <x v="1"/>
    <n v="0.24"/>
    <x v="0"/>
    <x v="0"/>
    <x v="1"/>
  </r>
  <r>
    <n v="1030"/>
    <d v="2023-11-15T00:00:00"/>
    <s v="2023"/>
    <x v="8"/>
    <s v="Wednesday"/>
    <x v="3"/>
    <x v="3"/>
    <x v="608"/>
    <n v="24"/>
    <x v="2"/>
    <n v="1370.52"/>
    <n v="1482.58"/>
    <x v="0"/>
    <n v="0.2"/>
    <x v="2"/>
    <x v="1"/>
    <x v="14"/>
  </r>
  <r>
    <n v="1017"/>
    <d v="2023-10-29T00:00:00"/>
    <s v="2023"/>
    <x v="7"/>
    <s v="Sunday"/>
    <x v="3"/>
    <x v="3"/>
    <x v="609"/>
    <n v="1"/>
    <x v="0"/>
    <n v="641.67999999999995"/>
    <n v="752.24"/>
    <x v="1"/>
    <n v="0.22"/>
    <x v="1"/>
    <x v="0"/>
    <x v="14"/>
  </r>
  <r>
    <n v="1062"/>
    <d v="2023-12-10T00:00:00"/>
    <s v="2023"/>
    <x v="9"/>
    <s v="Sunday"/>
    <x v="1"/>
    <x v="1"/>
    <x v="610"/>
    <n v="11"/>
    <x v="3"/>
    <n v="1190.08"/>
    <n v="1292.9399999999901"/>
    <x v="0"/>
    <n v="0.13"/>
    <x v="0"/>
    <x v="1"/>
    <x v="13"/>
  </r>
  <r>
    <n v="1084"/>
    <d v="2023-01-11T00:00:00"/>
    <s v="2023"/>
    <x v="5"/>
    <s v="Wednesday"/>
    <x v="0"/>
    <x v="3"/>
    <x v="611"/>
    <n v="21"/>
    <x v="2"/>
    <n v="576.74"/>
    <n v="648.29"/>
    <x v="0"/>
    <n v="0.2"/>
    <x v="1"/>
    <x v="0"/>
    <x v="12"/>
  </r>
  <r>
    <n v="1089"/>
    <d v="2023-03-03T00:00:00"/>
    <s v="2023"/>
    <x v="4"/>
    <s v="Friday"/>
    <x v="2"/>
    <x v="0"/>
    <x v="612"/>
    <n v="4"/>
    <x v="0"/>
    <n v="4117.67"/>
    <n v="4280.0600000000004"/>
    <x v="0"/>
    <n v="0.18"/>
    <x v="1"/>
    <x v="0"/>
    <x v="19"/>
  </r>
  <r>
    <n v="1086"/>
    <d v="2023-11-29T00:00:00"/>
    <s v="2023"/>
    <x v="8"/>
    <s v="Wednesday"/>
    <x v="0"/>
    <x v="1"/>
    <x v="613"/>
    <n v="7"/>
    <x v="1"/>
    <n v="737.9"/>
    <n v="1182"/>
    <x v="1"/>
    <n v="0.23"/>
    <x v="2"/>
    <x v="1"/>
    <x v="1"/>
  </r>
  <r>
    <n v="1013"/>
    <d v="2023-08-14T00:00:00"/>
    <s v="2023"/>
    <x v="3"/>
    <s v="Monday"/>
    <x v="4"/>
    <x v="3"/>
    <x v="614"/>
    <n v="26"/>
    <x v="2"/>
    <n v="3749.12"/>
    <n v="4138.83"/>
    <x v="1"/>
    <n v="0.13"/>
    <x v="2"/>
    <x v="0"/>
    <x v="18"/>
  </r>
  <r>
    <n v="1059"/>
    <d v="2023-06-02T00:00:00"/>
    <s v="2023"/>
    <x v="6"/>
    <s v="Friday"/>
    <x v="0"/>
    <x v="1"/>
    <x v="615"/>
    <n v="47"/>
    <x v="0"/>
    <n v="287.17"/>
    <n v="657.44"/>
    <x v="0"/>
    <n v="0.14000000000000001"/>
    <x v="2"/>
    <x v="1"/>
    <x v="1"/>
  </r>
  <r>
    <n v="1019"/>
    <d v="2023-07-18T00:00:00"/>
    <s v="2023"/>
    <x v="11"/>
    <s v="Tuesday"/>
    <x v="4"/>
    <x v="0"/>
    <x v="616"/>
    <n v="12"/>
    <x v="2"/>
    <n v="4745.18"/>
    <n v="5145.88"/>
    <x v="0"/>
    <n v="0.19"/>
    <x v="2"/>
    <x v="0"/>
    <x v="15"/>
  </r>
  <r>
    <n v="1049"/>
    <d v="2023-02-21T00:00:00"/>
    <s v="2023"/>
    <x v="0"/>
    <s v="Tuesday"/>
    <x v="4"/>
    <x v="3"/>
    <x v="617"/>
    <n v="31"/>
    <x v="3"/>
    <n v="3570.24"/>
    <n v="3712.25"/>
    <x v="1"/>
    <n v="0.03"/>
    <x v="2"/>
    <x v="0"/>
    <x v="18"/>
  </r>
  <r>
    <n v="1100"/>
    <d v="2023-09-17T00:00:00"/>
    <s v="2023"/>
    <x v="2"/>
    <s v="Sunday"/>
    <x v="2"/>
    <x v="0"/>
    <x v="618"/>
    <n v="17"/>
    <x v="3"/>
    <n v="83.64"/>
    <n v="528.49"/>
    <x v="1"/>
    <n v="0.13"/>
    <x v="2"/>
    <x v="0"/>
    <x v="19"/>
  </r>
  <r>
    <n v="1012"/>
    <d v="2023-02-28T00:00:00"/>
    <s v="2023"/>
    <x v="0"/>
    <s v="Tuesday"/>
    <x v="1"/>
    <x v="3"/>
    <x v="619"/>
    <n v="33"/>
    <x v="1"/>
    <n v="3831.09"/>
    <n v="3908.37"/>
    <x v="1"/>
    <n v="0.28999999999999998"/>
    <x v="0"/>
    <x v="1"/>
    <x v="16"/>
  </r>
  <r>
    <n v="1061"/>
    <d v="2023-03-13T00:00:00"/>
    <s v="2023"/>
    <x v="4"/>
    <s v="Monday"/>
    <x v="0"/>
    <x v="2"/>
    <x v="620"/>
    <n v="11"/>
    <x v="2"/>
    <n v="2594.71"/>
    <n v="2769.52"/>
    <x v="0"/>
    <n v="0.01"/>
    <x v="1"/>
    <x v="1"/>
    <x v="3"/>
  </r>
  <r>
    <n v="1019"/>
    <d v="2023-05-28T00:00:00"/>
    <s v="2023"/>
    <x v="10"/>
    <s v="Sunday"/>
    <x v="4"/>
    <x v="3"/>
    <x v="621"/>
    <n v="28"/>
    <x v="0"/>
    <n v="3907.86"/>
    <n v="4205.37"/>
    <x v="1"/>
    <n v="0.09"/>
    <x v="2"/>
    <x v="0"/>
    <x v="18"/>
  </r>
  <r>
    <n v="1076"/>
    <d v="2023-12-15T00:00:00"/>
    <s v="2023"/>
    <x v="9"/>
    <s v="Friday"/>
    <x v="0"/>
    <x v="1"/>
    <x v="622"/>
    <n v="32"/>
    <x v="1"/>
    <n v="2636.36"/>
    <n v="2696.78"/>
    <x v="1"/>
    <n v="0.09"/>
    <x v="0"/>
    <x v="1"/>
    <x v="1"/>
  </r>
  <r>
    <n v="1009"/>
    <d v="2023-03-04T00:00:00"/>
    <s v="2023"/>
    <x v="4"/>
    <s v="Saturday"/>
    <x v="1"/>
    <x v="3"/>
    <x v="623"/>
    <n v="1"/>
    <x v="2"/>
    <n v="3223.07"/>
    <n v="3590.83"/>
    <x v="1"/>
    <n v="0.19"/>
    <x v="1"/>
    <x v="1"/>
    <x v="16"/>
  </r>
  <r>
    <n v="1071"/>
    <d v="2023-11-06T00:00:00"/>
    <s v="2023"/>
    <x v="8"/>
    <s v="Monday"/>
    <x v="1"/>
    <x v="0"/>
    <x v="624"/>
    <n v="47"/>
    <x v="1"/>
    <n v="3942.34"/>
    <n v="4142.09"/>
    <x v="0"/>
    <n v="0.03"/>
    <x v="2"/>
    <x v="1"/>
    <x v="11"/>
  </r>
  <r>
    <n v="1028"/>
    <d v="2023-08-31T00:00:00"/>
    <s v="2023"/>
    <x v="3"/>
    <s v="Thursday"/>
    <x v="3"/>
    <x v="0"/>
    <x v="625"/>
    <n v="28"/>
    <x v="0"/>
    <n v="2055.2800000000002"/>
    <n v="2449.64"/>
    <x v="1"/>
    <n v="0.19"/>
    <x v="2"/>
    <x v="0"/>
    <x v="7"/>
  </r>
  <r>
    <n v="1078"/>
    <d v="2024-01-01T00:00:00"/>
    <s v="2024"/>
    <x v="5"/>
    <s v="Monday"/>
    <x v="1"/>
    <x v="3"/>
    <x v="626"/>
    <n v="42"/>
    <x v="1"/>
    <n v="63.41"/>
    <n v="314.93"/>
    <x v="0"/>
    <n v="0.03"/>
    <x v="0"/>
    <x v="1"/>
    <x v="16"/>
  </r>
  <r>
    <n v="1095"/>
    <d v="2023-11-26T00:00:00"/>
    <s v="2023"/>
    <x v="8"/>
    <s v="Sunday"/>
    <x v="2"/>
    <x v="1"/>
    <x v="627"/>
    <n v="7"/>
    <x v="1"/>
    <n v="4257.24"/>
    <n v="4355.87"/>
    <x v="0"/>
    <n v="0.03"/>
    <x v="1"/>
    <x v="0"/>
    <x v="5"/>
  </r>
  <r>
    <n v="1052"/>
    <d v="2023-04-17T00:00:00"/>
    <s v="2023"/>
    <x v="1"/>
    <s v="Monday"/>
    <x v="4"/>
    <x v="2"/>
    <x v="628"/>
    <n v="2"/>
    <x v="1"/>
    <n v="1935.41"/>
    <n v="2305.44"/>
    <x v="0"/>
    <n v="0.22"/>
    <x v="2"/>
    <x v="0"/>
    <x v="9"/>
  </r>
  <r>
    <n v="1083"/>
    <d v="2023-08-14T00:00:00"/>
    <s v="2023"/>
    <x v="3"/>
    <s v="Monday"/>
    <x v="3"/>
    <x v="1"/>
    <x v="629"/>
    <n v="42"/>
    <x v="2"/>
    <n v="2505.41"/>
    <n v="2638.96"/>
    <x v="1"/>
    <n v="0.1"/>
    <x v="1"/>
    <x v="0"/>
    <x v="8"/>
  </r>
  <r>
    <n v="1016"/>
    <d v="2023-11-09T00:00:00"/>
    <s v="2023"/>
    <x v="8"/>
    <s v="Thursday"/>
    <x v="2"/>
    <x v="2"/>
    <x v="630"/>
    <n v="24"/>
    <x v="0"/>
    <n v="88.44"/>
    <n v="338.94"/>
    <x v="1"/>
    <n v="0.28999999999999998"/>
    <x v="0"/>
    <x v="0"/>
    <x v="10"/>
  </r>
  <r>
    <n v="1069"/>
    <d v="2023-08-06T00:00:00"/>
    <s v="2023"/>
    <x v="3"/>
    <s v="Sunday"/>
    <x v="0"/>
    <x v="0"/>
    <x v="631"/>
    <n v="4"/>
    <x v="3"/>
    <n v="2485.86"/>
    <n v="2532.87"/>
    <x v="1"/>
    <n v="0.01"/>
    <x v="2"/>
    <x v="0"/>
    <x v="0"/>
  </r>
  <r>
    <n v="1099"/>
    <d v="2023-08-29T00:00:00"/>
    <s v="2023"/>
    <x v="3"/>
    <s v="Tuesday"/>
    <x v="4"/>
    <x v="1"/>
    <x v="632"/>
    <n v="44"/>
    <x v="2"/>
    <n v="4933.1099999999997"/>
    <n v="5245.86"/>
    <x v="0"/>
    <n v="0.13"/>
    <x v="1"/>
    <x v="1"/>
    <x v="17"/>
  </r>
  <r>
    <n v="1012"/>
    <d v="2023-09-16T00:00:00"/>
    <s v="2023"/>
    <x v="2"/>
    <s v="Saturday"/>
    <x v="1"/>
    <x v="2"/>
    <x v="633"/>
    <n v="19"/>
    <x v="3"/>
    <n v="1427.42"/>
    <n v="1763.69"/>
    <x v="1"/>
    <n v="0.03"/>
    <x v="0"/>
    <x v="1"/>
    <x v="2"/>
  </r>
  <r>
    <n v="1025"/>
    <d v="2023-09-19T00:00:00"/>
    <s v="2023"/>
    <x v="2"/>
    <s v="Tuesday"/>
    <x v="4"/>
    <x v="3"/>
    <x v="634"/>
    <n v="26"/>
    <x v="3"/>
    <n v="2007.32"/>
    <n v="2202.87"/>
    <x v="0"/>
    <n v="0.11"/>
    <x v="0"/>
    <x v="0"/>
    <x v="18"/>
  </r>
  <r>
    <n v="1052"/>
    <d v="2023-01-05T00:00:00"/>
    <s v="2023"/>
    <x v="5"/>
    <s v="Thursday"/>
    <x v="0"/>
    <x v="0"/>
    <x v="635"/>
    <n v="11"/>
    <x v="2"/>
    <n v="3451.59"/>
    <n v="3929.26"/>
    <x v="1"/>
    <n v="0.3"/>
    <x v="2"/>
    <x v="1"/>
    <x v="0"/>
  </r>
  <r>
    <n v="1085"/>
    <d v="2023-09-18T00:00:00"/>
    <s v="2023"/>
    <x v="2"/>
    <s v="Monday"/>
    <x v="3"/>
    <x v="3"/>
    <x v="636"/>
    <n v="40"/>
    <x v="2"/>
    <n v="4083.23"/>
    <n v="4521.57"/>
    <x v="1"/>
    <n v="0.27"/>
    <x v="1"/>
    <x v="1"/>
    <x v="14"/>
  </r>
  <r>
    <n v="1100"/>
    <d v="2023-02-23T00:00:00"/>
    <s v="2023"/>
    <x v="0"/>
    <s v="Thursday"/>
    <x v="3"/>
    <x v="0"/>
    <x v="637"/>
    <n v="43"/>
    <x v="0"/>
    <n v="2116.09"/>
    <n v="2472.98"/>
    <x v="1"/>
    <n v="0.01"/>
    <x v="2"/>
    <x v="1"/>
    <x v="7"/>
  </r>
  <r>
    <n v="1053"/>
    <d v="2023-02-16T00:00:00"/>
    <s v="2023"/>
    <x v="0"/>
    <s v="Thursday"/>
    <x v="3"/>
    <x v="1"/>
    <x v="638"/>
    <n v="11"/>
    <x v="0"/>
    <n v="1582.86"/>
    <n v="1942.55"/>
    <x v="1"/>
    <n v="0.17"/>
    <x v="2"/>
    <x v="1"/>
    <x v="8"/>
  </r>
  <r>
    <n v="1023"/>
    <d v="2023-08-03T00:00:00"/>
    <s v="2023"/>
    <x v="3"/>
    <s v="Thursday"/>
    <x v="1"/>
    <x v="1"/>
    <x v="639"/>
    <n v="45"/>
    <x v="1"/>
    <n v="4692.24"/>
    <n v="4825.92"/>
    <x v="0"/>
    <n v="0.19"/>
    <x v="1"/>
    <x v="1"/>
    <x v="13"/>
  </r>
  <r>
    <n v="1016"/>
    <d v="2023-06-26T00:00:00"/>
    <s v="2023"/>
    <x v="6"/>
    <s v="Monday"/>
    <x v="2"/>
    <x v="0"/>
    <x v="640"/>
    <n v="3"/>
    <x v="3"/>
    <n v="3401.87"/>
    <n v="3733.71"/>
    <x v="0"/>
    <n v="0.06"/>
    <x v="1"/>
    <x v="1"/>
    <x v="19"/>
  </r>
  <r>
    <n v="1057"/>
    <d v="2023-01-09T00:00:00"/>
    <s v="2023"/>
    <x v="5"/>
    <s v="Monday"/>
    <x v="2"/>
    <x v="0"/>
    <x v="641"/>
    <n v="12"/>
    <x v="0"/>
    <n v="639.16"/>
    <n v="746.28"/>
    <x v="0"/>
    <n v="0.04"/>
    <x v="1"/>
    <x v="1"/>
    <x v="19"/>
  </r>
  <r>
    <n v="1039"/>
    <d v="2023-04-09T00:00:00"/>
    <s v="2023"/>
    <x v="1"/>
    <s v="Sunday"/>
    <x v="4"/>
    <x v="0"/>
    <x v="642"/>
    <n v="3"/>
    <x v="1"/>
    <n v="391.19"/>
    <n v="471.75"/>
    <x v="0"/>
    <n v="0.27"/>
    <x v="0"/>
    <x v="0"/>
    <x v="15"/>
  </r>
  <r>
    <n v="1053"/>
    <d v="2023-01-20T00:00:00"/>
    <s v="2023"/>
    <x v="5"/>
    <s v="Friday"/>
    <x v="1"/>
    <x v="1"/>
    <x v="643"/>
    <n v="42"/>
    <x v="0"/>
    <n v="2443.5700000000002"/>
    <n v="2943.31"/>
    <x v="1"/>
    <n v="0.28999999999999998"/>
    <x v="0"/>
    <x v="0"/>
    <x v="13"/>
  </r>
  <r>
    <n v="1042"/>
    <d v="2023-08-29T00:00:00"/>
    <s v="2023"/>
    <x v="3"/>
    <s v="Tuesday"/>
    <x v="3"/>
    <x v="2"/>
    <x v="644"/>
    <n v="27"/>
    <x v="2"/>
    <n v="1139.45"/>
    <n v="1454.41"/>
    <x v="0"/>
    <n v="0.3"/>
    <x v="1"/>
    <x v="0"/>
    <x v="6"/>
  </r>
  <r>
    <n v="1058"/>
    <d v="2023-03-02T00:00:00"/>
    <s v="2023"/>
    <x v="4"/>
    <s v="Thursday"/>
    <x v="3"/>
    <x v="3"/>
    <x v="645"/>
    <n v="49"/>
    <x v="0"/>
    <n v="1307.22"/>
    <n v="1528.4"/>
    <x v="0"/>
    <n v="0.24"/>
    <x v="0"/>
    <x v="1"/>
    <x v="14"/>
  </r>
  <r>
    <n v="1039"/>
    <d v="2023-06-27T00:00:00"/>
    <s v="2023"/>
    <x v="6"/>
    <s v="Tuesday"/>
    <x v="0"/>
    <x v="3"/>
    <x v="646"/>
    <n v="2"/>
    <x v="3"/>
    <n v="4394.58"/>
    <n v="4545.78"/>
    <x v="0"/>
    <n v="0.2"/>
    <x v="2"/>
    <x v="1"/>
    <x v="12"/>
  </r>
  <r>
    <n v="1014"/>
    <d v="2023-12-04T00:00:00"/>
    <s v="2023"/>
    <x v="9"/>
    <s v="Monday"/>
    <x v="0"/>
    <x v="1"/>
    <x v="647"/>
    <n v="49"/>
    <x v="0"/>
    <n v="493.35"/>
    <n v="799.27"/>
    <x v="1"/>
    <n v="0.1"/>
    <x v="1"/>
    <x v="0"/>
    <x v="1"/>
  </r>
  <r>
    <n v="1095"/>
    <d v="2023-03-03T00:00:00"/>
    <s v="2023"/>
    <x v="4"/>
    <s v="Friday"/>
    <x v="3"/>
    <x v="3"/>
    <x v="648"/>
    <n v="16"/>
    <x v="3"/>
    <n v="3591.05"/>
    <n v="3625.35"/>
    <x v="0"/>
    <n v="0.05"/>
    <x v="2"/>
    <x v="1"/>
    <x v="14"/>
  </r>
  <r>
    <n v="1005"/>
    <d v="2023-05-25T00:00:00"/>
    <s v="2023"/>
    <x v="10"/>
    <s v="Thursday"/>
    <x v="3"/>
    <x v="0"/>
    <x v="649"/>
    <n v="2"/>
    <x v="2"/>
    <n v="1392.15"/>
    <n v="1448.54"/>
    <x v="0"/>
    <n v="0.02"/>
    <x v="1"/>
    <x v="1"/>
    <x v="7"/>
  </r>
  <r>
    <n v="1035"/>
    <d v="2023-08-04T00:00:00"/>
    <s v="2023"/>
    <x v="3"/>
    <s v="Friday"/>
    <x v="1"/>
    <x v="2"/>
    <x v="650"/>
    <n v="30"/>
    <x v="3"/>
    <n v="3813.62"/>
    <n v="3839.72"/>
    <x v="1"/>
    <n v="0.21"/>
    <x v="2"/>
    <x v="0"/>
    <x v="2"/>
  </r>
  <r>
    <n v="1087"/>
    <d v="2023-01-03T00:00:00"/>
    <s v="2023"/>
    <x v="5"/>
    <s v="Tuesday"/>
    <x v="2"/>
    <x v="3"/>
    <x v="651"/>
    <n v="20"/>
    <x v="0"/>
    <n v="3625.94"/>
    <n v="3880.53"/>
    <x v="1"/>
    <n v="0.24"/>
    <x v="1"/>
    <x v="0"/>
    <x v="4"/>
  </r>
  <r>
    <n v="1093"/>
    <d v="2023-06-09T00:00:00"/>
    <s v="2023"/>
    <x v="6"/>
    <s v="Friday"/>
    <x v="0"/>
    <x v="2"/>
    <x v="652"/>
    <n v="38"/>
    <x v="1"/>
    <n v="86.59"/>
    <n v="390.89"/>
    <x v="0"/>
    <n v="0.25"/>
    <x v="2"/>
    <x v="0"/>
    <x v="3"/>
  </r>
  <r>
    <n v="1075"/>
    <d v="2023-08-15T00:00:00"/>
    <s v="2023"/>
    <x v="3"/>
    <s v="Tuesday"/>
    <x v="2"/>
    <x v="0"/>
    <x v="653"/>
    <n v="28"/>
    <x v="2"/>
    <n v="2570.2199999999998"/>
    <n v="2610.8399999999901"/>
    <x v="0"/>
    <n v="0.27"/>
    <x v="1"/>
    <x v="1"/>
    <x v="19"/>
  </r>
  <r>
    <n v="1018"/>
    <d v="2023-09-26T00:00:00"/>
    <s v="2023"/>
    <x v="2"/>
    <s v="Tuesday"/>
    <x v="1"/>
    <x v="3"/>
    <x v="654"/>
    <n v="25"/>
    <x v="0"/>
    <n v="739.63"/>
    <n v="1103.03"/>
    <x v="1"/>
    <n v="0.26"/>
    <x v="1"/>
    <x v="1"/>
    <x v="16"/>
  </r>
  <r>
    <n v="1076"/>
    <d v="2023-04-30T00:00:00"/>
    <s v="2023"/>
    <x v="1"/>
    <s v="Sunday"/>
    <x v="3"/>
    <x v="1"/>
    <x v="655"/>
    <n v="32"/>
    <x v="2"/>
    <n v="4337.82"/>
    <n v="4460.71"/>
    <x v="0"/>
    <n v="0.3"/>
    <x v="0"/>
    <x v="1"/>
    <x v="8"/>
  </r>
  <r>
    <n v="1009"/>
    <d v="2023-03-30T00:00:00"/>
    <s v="2023"/>
    <x v="4"/>
    <s v="Thursday"/>
    <x v="2"/>
    <x v="2"/>
    <x v="656"/>
    <n v="10"/>
    <x v="2"/>
    <n v="4364.3500000000004"/>
    <n v="4710.1000000000004"/>
    <x v="1"/>
    <n v="7.0000000000000007E-2"/>
    <x v="2"/>
    <x v="0"/>
    <x v="10"/>
  </r>
  <r>
    <n v="1074"/>
    <d v="2023-11-25T00:00:00"/>
    <s v="2023"/>
    <x v="8"/>
    <s v="Saturday"/>
    <x v="3"/>
    <x v="0"/>
    <x v="657"/>
    <n v="42"/>
    <x v="0"/>
    <n v="2120.81"/>
    <n v="2611.94"/>
    <x v="0"/>
    <n v="0.23"/>
    <x v="0"/>
    <x v="0"/>
    <x v="7"/>
  </r>
  <r>
    <n v="1058"/>
    <d v="2023-03-09T00:00:00"/>
    <s v="2023"/>
    <x v="4"/>
    <s v="Thursday"/>
    <x v="3"/>
    <x v="2"/>
    <x v="658"/>
    <n v="40"/>
    <x v="0"/>
    <n v="2249.7600000000002"/>
    <n v="2598.4"/>
    <x v="0"/>
    <n v="0.18"/>
    <x v="2"/>
    <x v="1"/>
    <x v="6"/>
  </r>
  <r>
    <n v="1017"/>
    <d v="2023-12-23T00:00:00"/>
    <s v="2023"/>
    <x v="9"/>
    <s v="Saturday"/>
    <x v="4"/>
    <x v="3"/>
    <x v="659"/>
    <n v="33"/>
    <x v="1"/>
    <n v="1551.25"/>
    <n v="1994.01"/>
    <x v="0"/>
    <n v="0.08"/>
    <x v="0"/>
    <x v="0"/>
    <x v="18"/>
  </r>
  <r>
    <n v="1007"/>
    <d v="2023-04-08T00:00:00"/>
    <s v="2023"/>
    <x v="1"/>
    <s v="Saturday"/>
    <x v="2"/>
    <x v="3"/>
    <x v="660"/>
    <n v="13"/>
    <x v="2"/>
    <n v="3597.2"/>
    <n v="4071.8199999999902"/>
    <x v="0"/>
    <n v="0.28999999999999998"/>
    <x v="1"/>
    <x v="0"/>
    <x v="4"/>
  </r>
  <r>
    <n v="1046"/>
    <d v="2023-09-24T00:00:00"/>
    <s v="2023"/>
    <x v="2"/>
    <s v="Sunday"/>
    <x v="2"/>
    <x v="1"/>
    <x v="661"/>
    <n v="41"/>
    <x v="2"/>
    <n v="1825.37"/>
    <n v="2073.88"/>
    <x v="0"/>
    <n v="0.27"/>
    <x v="0"/>
    <x v="1"/>
    <x v="5"/>
  </r>
  <r>
    <n v="1013"/>
    <d v="2023-04-15T00:00:00"/>
    <s v="2023"/>
    <x v="1"/>
    <s v="Saturday"/>
    <x v="3"/>
    <x v="0"/>
    <x v="662"/>
    <n v="42"/>
    <x v="0"/>
    <n v="1375.57"/>
    <n v="1729.71"/>
    <x v="1"/>
    <n v="0.04"/>
    <x v="0"/>
    <x v="0"/>
    <x v="7"/>
  </r>
  <r>
    <n v="1040"/>
    <d v="2023-11-19T00:00:00"/>
    <s v="2023"/>
    <x v="8"/>
    <s v="Sunday"/>
    <x v="1"/>
    <x v="0"/>
    <x v="663"/>
    <n v="47"/>
    <x v="3"/>
    <n v="2189.54"/>
    <n v="2617"/>
    <x v="1"/>
    <n v="0.01"/>
    <x v="1"/>
    <x v="0"/>
    <x v="11"/>
  </r>
  <r>
    <n v="1042"/>
    <d v="2023-05-03T00:00:00"/>
    <s v="2023"/>
    <x v="10"/>
    <s v="Wednesday"/>
    <x v="4"/>
    <x v="1"/>
    <x v="664"/>
    <n v="37"/>
    <x v="0"/>
    <n v="502.86"/>
    <n v="687.6"/>
    <x v="0"/>
    <n v="0.21"/>
    <x v="0"/>
    <x v="0"/>
    <x v="17"/>
  </r>
  <r>
    <n v="1009"/>
    <d v="2023-01-29T00:00:00"/>
    <s v="2023"/>
    <x v="5"/>
    <s v="Sunday"/>
    <x v="3"/>
    <x v="1"/>
    <x v="665"/>
    <n v="16"/>
    <x v="2"/>
    <n v="3745.69"/>
    <n v="3883.77"/>
    <x v="0"/>
    <n v="0.18"/>
    <x v="1"/>
    <x v="1"/>
    <x v="8"/>
  </r>
  <r>
    <n v="1050"/>
    <d v="2023-05-17T00:00:00"/>
    <s v="2023"/>
    <x v="10"/>
    <s v="Wednesday"/>
    <x v="0"/>
    <x v="0"/>
    <x v="666"/>
    <n v="45"/>
    <x v="0"/>
    <n v="112.35"/>
    <n v="586.17999999999995"/>
    <x v="0"/>
    <n v="0.28000000000000003"/>
    <x v="2"/>
    <x v="1"/>
    <x v="0"/>
  </r>
  <r>
    <n v="1027"/>
    <d v="2023-07-14T00:00:00"/>
    <s v="2023"/>
    <x v="11"/>
    <s v="Friday"/>
    <x v="0"/>
    <x v="2"/>
    <x v="667"/>
    <n v="22"/>
    <x v="1"/>
    <n v="3240.2"/>
    <n v="3606.0899999999901"/>
    <x v="1"/>
    <n v="7.0000000000000007E-2"/>
    <x v="0"/>
    <x v="0"/>
    <x v="3"/>
  </r>
  <r>
    <n v="1066"/>
    <d v="2023-08-14T00:00:00"/>
    <s v="2023"/>
    <x v="3"/>
    <s v="Monday"/>
    <x v="4"/>
    <x v="2"/>
    <x v="668"/>
    <n v="20"/>
    <x v="3"/>
    <n v="955.18"/>
    <n v="1072.82"/>
    <x v="1"/>
    <n v="0.03"/>
    <x v="1"/>
    <x v="1"/>
    <x v="9"/>
  </r>
  <r>
    <n v="1005"/>
    <d v="2023-11-28T00:00:00"/>
    <s v="2023"/>
    <x v="8"/>
    <s v="Tuesday"/>
    <x v="1"/>
    <x v="1"/>
    <x v="669"/>
    <n v="43"/>
    <x v="0"/>
    <n v="1200.4000000000001"/>
    <n v="1430.45"/>
    <x v="1"/>
    <n v="0.08"/>
    <x v="1"/>
    <x v="1"/>
    <x v="13"/>
  </r>
  <r>
    <n v="1029"/>
    <d v="2023-06-19T00:00:00"/>
    <s v="2023"/>
    <x v="6"/>
    <s v="Monday"/>
    <x v="3"/>
    <x v="2"/>
    <x v="670"/>
    <n v="27"/>
    <x v="1"/>
    <n v="3196.38"/>
    <n v="3596.64"/>
    <x v="1"/>
    <n v="0.01"/>
    <x v="0"/>
    <x v="1"/>
    <x v="6"/>
  </r>
  <r>
    <n v="1037"/>
    <d v="2023-01-09T00:00:00"/>
    <s v="2023"/>
    <x v="5"/>
    <s v="Monday"/>
    <x v="2"/>
    <x v="0"/>
    <x v="671"/>
    <n v="41"/>
    <x v="2"/>
    <n v="4965.07"/>
    <n v="5243.13"/>
    <x v="1"/>
    <n v="0.01"/>
    <x v="2"/>
    <x v="0"/>
    <x v="19"/>
  </r>
  <r>
    <n v="1038"/>
    <d v="2023-02-09T00:00:00"/>
    <s v="2023"/>
    <x v="0"/>
    <s v="Thursday"/>
    <x v="4"/>
    <x v="3"/>
    <x v="672"/>
    <n v="16"/>
    <x v="0"/>
    <n v="3899.7"/>
    <n v="4228.18"/>
    <x v="1"/>
    <n v="0.27"/>
    <x v="0"/>
    <x v="1"/>
    <x v="18"/>
  </r>
  <r>
    <n v="1083"/>
    <d v="2023-01-25T00:00:00"/>
    <s v="2023"/>
    <x v="5"/>
    <s v="Wednesday"/>
    <x v="1"/>
    <x v="3"/>
    <x v="673"/>
    <n v="34"/>
    <x v="2"/>
    <n v="1167.9100000000001"/>
    <n v="1547.26"/>
    <x v="1"/>
    <n v="0.11"/>
    <x v="1"/>
    <x v="0"/>
    <x v="16"/>
  </r>
  <r>
    <n v="1008"/>
    <d v="2023-09-18T00:00:00"/>
    <s v="2023"/>
    <x v="2"/>
    <s v="Monday"/>
    <x v="2"/>
    <x v="2"/>
    <x v="674"/>
    <n v="32"/>
    <x v="1"/>
    <n v="921.32"/>
    <n v="1236.0999999999999"/>
    <x v="1"/>
    <n v="0.12"/>
    <x v="2"/>
    <x v="0"/>
    <x v="10"/>
  </r>
  <r>
    <n v="1065"/>
    <d v="2023-08-14T00:00:00"/>
    <s v="2023"/>
    <x v="3"/>
    <s v="Monday"/>
    <x v="0"/>
    <x v="1"/>
    <x v="675"/>
    <n v="26"/>
    <x v="2"/>
    <n v="4337.8500000000004"/>
    <n v="4612.49"/>
    <x v="0"/>
    <n v="0.01"/>
    <x v="0"/>
    <x v="1"/>
    <x v="1"/>
  </r>
  <r>
    <n v="1086"/>
    <d v="2023-05-04T00:00:00"/>
    <s v="2023"/>
    <x v="10"/>
    <s v="Thursday"/>
    <x v="0"/>
    <x v="1"/>
    <x v="676"/>
    <n v="25"/>
    <x v="1"/>
    <n v="2248.71"/>
    <n v="2626.02"/>
    <x v="1"/>
    <n v="0.08"/>
    <x v="1"/>
    <x v="0"/>
    <x v="1"/>
  </r>
  <r>
    <n v="1017"/>
    <d v="2023-02-07T00:00:00"/>
    <s v="2023"/>
    <x v="0"/>
    <s v="Tuesday"/>
    <x v="2"/>
    <x v="1"/>
    <x v="677"/>
    <n v="2"/>
    <x v="1"/>
    <n v="728.41"/>
    <n v="1094.92"/>
    <x v="1"/>
    <n v="0.24"/>
    <x v="0"/>
    <x v="1"/>
    <x v="5"/>
  </r>
  <r>
    <n v="1071"/>
    <d v="2023-11-24T00:00:00"/>
    <s v="2023"/>
    <x v="8"/>
    <s v="Friday"/>
    <x v="4"/>
    <x v="1"/>
    <x v="678"/>
    <n v="12"/>
    <x v="1"/>
    <n v="4317.95"/>
    <n v="4636.59"/>
    <x v="1"/>
    <n v="0.18"/>
    <x v="2"/>
    <x v="1"/>
    <x v="17"/>
  </r>
  <r>
    <n v="1089"/>
    <d v="2023-09-08T00:00:00"/>
    <s v="2023"/>
    <x v="2"/>
    <s v="Friday"/>
    <x v="0"/>
    <x v="1"/>
    <x v="679"/>
    <n v="40"/>
    <x v="0"/>
    <n v="4089.66"/>
    <n v="4275.96"/>
    <x v="1"/>
    <n v="0.23"/>
    <x v="2"/>
    <x v="0"/>
    <x v="1"/>
  </r>
  <r>
    <n v="1045"/>
    <d v="2023-06-25T00:00:00"/>
    <s v="2023"/>
    <x v="6"/>
    <s v="Sunday"/>
    <x v="3"/>
    <x v="2"/>
    <x v="680"/>
    <n v="9"/>
    <x v="2"/>
    <n v="4920.34"/>
    <n v="5129.1899999999996"/>
    <x v="0"/>
    <n v="0.13"/>
    <x v="2"/>
    <x v="0"/>
    <x v="6"/>
  </r>
  <r>
    <n v="1004"/>
    <d v="2023-03-31T00:00:00"/>
    <s v="2023"/>
    <x v="4"/>
    <s v="Friday"/>
    <x v="2"/>
    <x v="3"/>
    <x v="681"/>
    <n v="12"/>
    <x v="2"/>
    <n v="4553.2299999999996"/>
    <n v="5038.74"/>
    <x v="1"/>
    <n v="0.09"/>
    <x v="2"/>
    <x v="1"/>
    <x v="4"/>
  </r>
  <r>
    <n v="1036"/>
    <d v="2023-02-06T00:00:00"/>
    <s v="2023"/>
    <x v="0"/>
    <s v="Monday"/>
    <x v="2"/>
    <x v="3"/>
    <x v="682"/>
    <n v="26"/>
    <x v="3"/>
    <n v="4266.3599999999997"/>
    <n v="4331.4299999999903"/>
    <x v="0"/>
    <n v="0.14000000000000001"/>
    <x v="2"/>
    <x v="1"/>
    <x v="4"/>
  </r>
  <r>
    <n v="1070"/>
    <d v="2023-11-12T00:00:00"/>
    <s v="2023"/>
    <x v="8"/>
    <s v="Sunday"/>
    <x v="0"/>
    <x v="2"/>
    <x v="683"/>
    <n v="9"/>
    <x v="3"/>
    <n v="310.24"/>
    <n v="451.81"/>
    <x v="0"/>
    <n v="0.1"/>
    <x v="0"/>
    <x v="1"/>
    <x v="3"/>
  </r>
  <r>
    <n v="1031"/>
    <d v="2023-06-25T00:00:00"/>
    <s v="2023"/>
    <x v="6"/>
    <s v="Sunday"/>
    <x v="4"/>
    <x v="1"/>
    <x v="684"/>
    <n v="10"/>
    <x v="3"/>
    <n v="566.86"/>
    <n v="818.14"/>
    <x v="0"/>
    <n v="0.25"/>
    <x v="2"/>
    <x v="1"/>
    <x v="17"/>
  </r>
  <r>
    <n v="1019"/>
    <d v="2023-10-11T00:00:00"/>
    <s v="2023"/>
    <x v="7"/>
    <s v="Wednesday"/>
    <x v="3"/>
    <x v="2"/>
    <x v="685"/>
    <n v="32"/>
    <x v="3"/>
    <n v="2866.47"/>
    <n v="3286.47"/>
    <x v="1"/>
    <n v="0.09"/>
    <x v="2"/>
    <x v="0"/>
    <x v="6"/>
  </r>
  <r>
    <n v="1061"/>
    <d v="2023-03-22T00:00:00"/>
    <s v="2023"/>
    <x v="4"/>
    <s v="Wednesday"/>
    <x v="4"/>
    <x v="3"/>
    <x v="686"/>
    <n v="34"/>
    <x v="2"/>
    <n v="2680.82"/>
    <n v="2771.02"/>
    <x v="1"/>
    <n v="0.2"/>
    <x v="1"/>
    <x v="0"/>
    <x v="18"/>
  </r>
  <r>
    <n v="1054"/>
    <d v="2023-04-24T00:00:00"/>
    <s v="2023"/>
    <x v="1"/>
    <s v="Monday"/>
    <x v="1"/>
    <x v="0"/>
    <x v="687"/>
    <n v="48"/>
    <x v="1"/>
    <n v="2316.92"/>
    <n v="2462.63"/>
    <x v="1"/>
    <n v="0.04"/>
    <x v="2"/>
    <x v="0"/>
    <x v="11"/>
  </r>
  <r>
    <n v="1039"/>
    <d v="2023-02-09T00:00:00"/>
    <s v="2023"/>
    <x v="0"/>
    <s v="Thursday"/>
    <x v="1"/>
    <x v="2"/>
    <x v="688"/>
    <n v="20"/>
    <x v="1"/>
    <n v="2014.11"/>
    <n v="2056.35"/>
    <x v="0"/>
    <n v="0.21"/>
    <x v="1"/>
    <x v="1"/>
    <x v="2"/>
  </r>
  <r>
    <n v="1091"/>
    <d v="2023-10-28T00:00:00"/>
    <s v="2023"/>
    <x v="7"/>
    <s v="Saturday"/>
    <x v="0"/>
    <x v="1"/>
    <x v="689"/>
    <n v="39"/>
    <x v="0"/>
    <n v="2184.4899999999998"/>
    <n v="2540.4199999999901"/>
    <x v="0"/>
    <n v="0.27"/>
    <x v="1"/>
    <x v="0"/>
    <x v="1"/>
  </r>
  <r>
    <n v="1074"/>
    <d v="2023-08-12T00:00:00"/>
    <s v="2023"/>
    <x v="3"/>
    <s v="Saturday"/>
    <x v="0"/>
    <x v="3"/>
    <x v="690"/>
    <n v="2"/>
    <x v="1"/>
    <n v="2868.02"/>
    <n v="2994.74"/>
    <x v="0"/>
    <n v="0.18"/>
    <x v="1"/>
    <x v="0"/>
    <x v="12"/>
  </r>
  <r>
    <n v="1090"/>
    <d v="2023-11-14T00:00:00"/>
    <s v="2023"/>
    <x v="8"/>
    <s v="Tuesday"/>
    <x v="0"/>
    <x v="3"/>
    <x v="691"/>
    <n v="1"/>
    <x v="2"/>
    <n v="60.28"/>
    <n v="260.73"/>
    <x v="0"/>
    <n v="0.17"/>
    <x v="0"/>
    <x v="0"/>
    <x v="12"/>
  </r>
  <r>
    <n v="1019"/>
    <d v="2023-12-15T00:00:00"/>
    <s v="2023"/>
    <x v="9"/>
    <s v="Friday"/>
    <x v="1"/>
    <x v="3"/>
    <x v="692"/>
    <n v="36"/>
    <x v="2"/>
    <n v="1340.51"/>
    <n v="1567.92"/>
    <x v="1"/>
    <n v="0.28999999999999998"/>
    <x v="0"/>
    <x v="0"/>
    <x v="16"/>
  </r>
  <r>
    <n v="1039"/>
    <d v="2023-04-25T00:00:00"/>
    <s v="2023"/>
    <x v="1"/>
    <s v="Tuesday"/>
    <x v="4"/>
    <x v="3"/>
    <x v="693"/>
    <n v="24"/>
    <x v="2"/>
    <n v="2615.48"/>
    <n v="3062.22"/>
    <x v="1"/>
    <n v="0.19"/>
    <x v="1"/>
    <x v="1"/>
    <x v="18"/>
  </r>
  <r>
    <n v="1067"/>
    <d v="2023-07-05T00:00:00"/>
    <s v="2023"/>
    <x v="11"/>
    <s v="Wednesday"/>
    <x v="4"/>
    <x v="1"/>
    <x v="694"/>
    <n v="27"/>
    <x v="0"/>
    <n v="3624.97"/>
    <n v="3836.52"/>
    <x v="1"/>
    <n v="0.08"/>
    <x v="0"/>
    <x v="0"/>
    <x v="17"/>
  </r>
  <r>
    <n v="1045"/>
    <d v="2023-11-19T00:00:00"/>
    <s v="2023"/>
    <x v="8"/>
    <s v="Sunday"/>
    <x v="0"/>
    <x v="0"/>
    <x v="695"/>
    <n v="2"/>
    <x v="3"/>
    <n v="912.08"/>
    <n v="993.24"/>
    <x v="0"/>
    <n v="0.09"/>
    <x v="2"/>
    <x v="0"/>
    <x v="0"/>
  </r>
  <r>
    <n v="1013"/>
    <d v="2023-02-25T00:00:00"/>
    <s v="2023"/>
    <x v="0"/>
    <s v="Saturday"/>
    <x v="3"/>
    <x v="3"/>
    <x v="696"/>
    <n v="31"/>
    <x v="1"/>
    <n v="2757.06"/>
    <n v="3023.97"/>
    <x v="0"/>
    <n v="0.21"/>
    <x v="0"/>
    <x v="0"/>
    <x v="14"/>
  </r>
  <r>
    <n v="1092"/>
    <d v="2023-02-09T00:00:00"/>
    <s v="2023"/>
    <x v="0"/>
    <s v="Thursday"/>
    <x v="4"/>
    <x v="2"/>
    <x v="697"/>
    <n v="14"/>
    <x v="2"/>
    <n v="3586.58"/>
    <n v="4068.43"/>
    <x v="1"/>
    <n v="0.22"/>
    <x v="2"/>
    <x v="0"/>
    <x v="9"/>
  </r>
  <r>
    <n v="1058"/>
    <d v="2023-12-20T00:00:00"/>
    <s v="2023"/>
    <x v="9"/>
    <s v="Wednesday"/>
    <x v="1"/>
    <x v="0"/>
    <x v="698"/>
    <n v="2"/>
    <x v="2"/>
    <n v="2250.91"/>
    <n v="2558.6799999999998"/>
    <x v="1"/>
    <n v="0.09"/>
    <x v="2"/>
    <x v="1"/>
    <x v="11"/>
  </r>
  <r>
    <n v="1020"/>
    <d v="2023-02-09T00:00:00"/>
    <s v="2023"/>
    <x v="0"/>
    <s v="Thursday"/>
    <x v="2"/>
    <x v="3"/>
    <x v="699"/>
    <n v="29"/>
    <x v="3"/>
    <n v="184.05"/>
    <n v="675.91"/>
    <x v="0"/>
    <n v="0.1"/>
    <x v="0"/>
    <x v="1"/>
    <x v="4"/>
  </r>
  <r>
    <n v="1092"/>
    <d v="2023-12-13T00:00:00"/>
    <s v="2023"/>
    <x v="9"/>
    <s v="Wednesday"/>
    <x v="2"/>
    <x v="0"/>
    <x v="700"/>
    <n v="15"/>
    <x v="2"/>
    <n v="2273.88"/>
    <n v="2696.02"/>
    <x v="1"/>
    <n v="0.3"/>
    <x v="0"/>
    <x v="0"/>
    <x v="19"/>
  </r>
  <r>
    <n v="1072"/>
    <d v="2023-08-25T00:00:00"/>
    <s v="2023"/>
    <x v="3"/>
    <s v="Friday"/>
    <x v="2"/>
    <x v="2"/>
    <x v="701"/>
    <n v="12"/>
    <x v="1"/>
    <n v="1517.4"/>
    <n v="1545.02"/>
    <x v="1"/>
    <n v="0.03"/>
    <x v="1"/>
    <x v="1"/>
    <x v="10"/>
  </r>
  <r>
    <n v="1061"/>
    <d v="2023-10-16T00:00:00"/>
    <s v="2023"/>
    <x v="7"/>
    <s v="Monday"/>
    <x v="3"/>
    <x v="3"/>
    <x v="702"/>
    <n v="37"/>
    <x v="0"/>
    <n v="4651.7700000000004"/>
    <n v="4984.3900000000003"/>
    <x v="0"/>
    <n v="0.12"/>
    <x v="0"/>
    <x v="1"/>
    <x v="14"/>
  </r>
  <r>
    <n v="1039"/>
    <d v="2023-09-19T00:00:00"/>
    <s v="2023"/>
    <x v="2"/>
    <s v="Tuesday"/>
    <x v="0"/>
    <x v="2"/>
    <x v="703"/>
    <n v="28"/>
    <x v="2"/>
    <n v="666.84"/>
    <n v="817.36"/>
    <x v="0"/>
    <n v="0.02"/>
    <x v="0"/>
    <x v="1"/>
    <x v="3"/>
  </r>
  <r>
    <n v="1001"/>
    <d v="2023-08-04T00:00:00"/>
    <s v="2023"/>
    <x v="3"/>
    <s v="Friday"/>
    <x v="1"/>
    <x v="1"/>
    <x v="704"/>
    <n v="20"/>
    <x v="1"/>
    <n v="3279.76"/>
    <n v="3563.97"/>
    <x v="0"/>
    <n v="0.25"/>
    <x v="0"/>
    <x v="1"/>
    <x v="13"/>
  </r>
  <r>
    <n v="1003"/>
    <d v="2023-05-27T00:00:00"/>
    <s v="2023"/>
    <x v="10"/>
    <s v="Saturday"/>
    <x v="3"/>
    <x v="3"/>
    <x v="705"/>
    <n v="39"/>
    <x v="2"/>
    <n v="310.95999999999998"/>
    <n v="457.84"/>
    <x v="1"/>
    <n v="0.03"/>
    <x v="2"/>
    <x v="0"/>
    <x v="14"/>
  </r>
  <r>
    <n v="1077"/>
    <d v="2023-12-02T00:00:00"/>
    <s v="2023"/>
    <x v="9"/>
    <s v="Saturday"/>
    <x v="1"/>
    <x v="3"/>
    <x v="706"/>
    <n v="24"/>
    <x v="3"/>
    <n v="2258.54"/>
    <n v="2439.4899999999998"/>
    <x v="0"/>
    <n v="0.2"/>
    <x v="2"/>
    <x v="1"/>
    <x v="16"/>
  </r>
  <r>
    <n v="1092"/>
    <d v="2023-06-17T00:00:00"/>
    <s v="2023"/>
    <x v="6"/>
    <s v="Saturday"/>
    <x v="1"/>
    <x v="3"/>
    <x v="707"/>
    <n v="21"/>
    <x v="2"/>
    <n v="2792.2"/>
    <n v="3254.5499999999902"/>
    <x v="1"/>
    <n v="0.02"/>
    <x v="2"/>
    <x v="1"/>
    <x v="16"/>
  </r>
  <r>
    <n v="1062"/>
    <d v="2023-04-02T00:00:00"/>
    <s v="2023"/>
    <x v="1"/>
    <s v="Sunday"/>
    <x v="0"/>
    <x v="3"/>
    <x v="708"/>
    <n v="10"/>
    <x v="2"/>
    <n v="1524.88"/>
    <n v="1636.14"/>
    <x v="1"/>
    <n v="0.2"/>
    <x v="1"/>
    <x v="0"/>
    <x v="12"/>
  </r>
  <r>
    <n v="1063"/>
    <d v="2023-12-19T00:00:00"/>
    <s v="2023"/>
    <x v="9"/>
    <s v="Tuesday"/>
    <x v="2"/>
    <x v="1"/>
    <x v="709"/>
    <n v="46"/>
    <x v="0"/>
    <n v="2302.62"/>
    <n v="2740.93"/>
    <x v="0"/>
    <n v="0.25"/>
    <x v="1"/>
    <x v="0"/>
    <x v="5"/>
  </r>
  <r>
    <n v="1025"/>
    <d v="2023-02-28T00:00:00"/>
    <s v="2023"/>
    <x v="0"/>
    <s v="Tuesday"/>
    <x v="0"/>
    <x v="3"/>
    <x v="710"/>
    <n v="14"/>
    <x v="3"/>
    <n v="859.59"/>
    <n v="884.51"/>
    <x v="1"/>
    <n v="0.12"/>
    <x v="1"/>
    <x v="0"/>
    <x v="12"/>
  </r>
  <r>
    <n v="1056"/>
    <d v="2023-02-28T00:00:00"/>
    <s v="2023"/>
    <x v="0"/>
    <s v="Tuesday"/>
    <x v="3"/>
    <x v="0"/>
    <x v="711"/>
    <n v="37"/>
    <x v="3"/>
    <n v="1555.41"/>
    <n v="1609.94"/>
    <x v="0"/>
    <n v="0.16"/>
    <x v="2"/>
    <x v="0"/>
    <x v="7"/>
  </r>
  <r>
    <n v="1033"/>
    <d v="2023-10-31T00:00:00"/>
    <s v="2023"/>
    <x v="7"/>
    <s v="Tuesday"/>
    <x v="3"/>
    <x v="3"/>
    <x v="712"/>
    <n v="18"/>
    <x v="0"/>
    <n v="3124.48"/>
    <n v="3553.27"/>
    <x v="0"/>
    <n v="0.12"/>
    <x v="0"/>
    <x v="1"/>
    <x v="14"/>
  </r>
  <r>
    <n v="1038"/>
    <d v="2023-06-18T00:00:00"/>
    <s v="2023"/>
    <x v="6"/>
    <s v="Sunday"/>
    <x v="3"/>
    <x v="1"/>
    <x v="713"/>
    <n v="24"/>
    <x v="2"/>
    <n v="1543.91"/>
    <n v="1862.88"/>
    <x v="1"/>
    <n v="0.09"/>
    <x v="1"/>
    <x v="0"/>
    <x v="8"/>
  </r>
  <r>
    <n v="1006"/>
    <d v="2023-09-26T00:00:00"/>
    <s v="2023"/>
    <x v="2"/>
    <s v="Tuesday"/>
    <x v="0"/>
    <x v="3"/>
    <x v="714"/>
    <n v="14"/>
    <x v="1"/>
    <n v="4503.7299999999996"/>
    <n v="4879.8799999999901"/>
    <x v="1"/>
    <n v="0.24"/>
    <x v="1"/>
    <x v="1"/>
    <x v="12"/>
  </r>
  <r>
    <n v="1058"/>
    <d v="2023-12-29T00:00:00"/>
    <s v="2023"/>
    <x v="9"/>
    <s v="Friday"/>
    <x v="1"/>
    <x v="0"/>
    <x v="715"/>
    <n v="34"/>
    <x v="3"/>
    <n v="3160.61"/>
    <n v="3273.22"/>
    <x v="0"/>
    <n v="0.08"/>
    <x v="2"/>
    <x v="1"/>
    <x v="11"/>
  </r>
  <r>
    <n v="1044"/>
    <d v="2023-02-14T00:00:00"/>
    <s v="2023"/>
    <x v="0"/>
    <s v="Tuesday"/>
    <x v="1"/>
    <x v="1"/>
    <x v="716"/>
    <n v="12"/>
    <x v="3"/>
    <n v="2221.31"/>
    <n v="2494.48"/>
    <x v="0"/>
    <n v="0.22"/>
    <x v="1"/>
    <x v="0"/>
    <x v="13"/>
  </r>
  <r>
    <n v="1045"/>
    <d v="2023-12-11T00:00:00"/>
    <s v="2023"/>
    <x v="9"/>
    <s v="Monday"/>
    <x v="4"/>
    <x v="1"/>
    <x v="717"/>
    <n v="22"/>
    <x v="2"/>
    <n v="241.85"/>
    <n v="613.09"/>
    <x v="0"/>
    <n v="0.06"/>
    <x v="0"/>
    <x v="0"/>
    <x v="17"/>
  </r>
  <r>
    <n v="1032"/>
    <d v="2023-06-30T00:00:00"/>
    <s v="2023"/>
    <x v="6"/>
    <s v="Friday"/>
    <x v="3"/>
    <x v="0"/>
    <x v="718"/>
    <n v="6"/>
    <x v="2"/>
    <n v="2522.7600000000002"/>
    <n v="2840.14"/>
    <x v="0"/>
    <n v="7.0000000000000007E-2"/>
    <x v="2"/>
    <x v="1"/>
    <x v="7"/>
  </r>
  <r>
    <n v="1045"/>
    <d v="2023-06-19T00:00:00"/>
    <s v="2023"/>
    <x v="6"/>
    <s v="Monday"/>
    <x v="1"/>
    <x v="0"/>
    <x v="719"/>
    <n v="36"/>
    <x v="3"/>
    <n v="3835.64"/>
    <n v="4076.77"/>
    <x v="0"/>
    <n v="0.1"/>
    <x v="2"/>
    <x v="1"/>
    <x v="11"/>
  </r>
  <r>
    <n v="1061"/>
    <d v="2023-12-22T00:00:00"/>
    <s v="2023"/>
    <x v="9"/>
    <s v="Friday"/>
    <x v="4"/>
    <x v="0"/>
    <x v="720"/>
    <n v="45"/>
    <x v="2"/>
    <n v="1364.51"/>
    <n v="1844.8"/>
    <x v="0"/>
    <n v="0.18"/>
    <x v="0"/>
    <x v="0"/>
    <x v="15"/>
  </r>
  <r>
    <n v="1047"/>
    <d v="2023-07-10T00:00:00"/>
    <s v="2023"/>
    <x v="11"/>
    <s v="Monday"/>
    <x v="1"/>
    <x v="0"/>
    <x v="721"/>
    <n v="36"/>
    <x v="1"/>
    <n v="4043.53"/>
    <n v="4384.8500000000004"/>
    <x v="1"/>
    <n v="0.14000000000000001"/>
    <x v="0"/>
    <x v="0"/>
    <x v="11"/>
  </r>
  <r>
    <n v="1021"/>
    <d v="2023-06-04T00:00:00"/>
    <s v="2023"/>
    <x v="6"/>
    <s v="Sunday"/>
    <x v="3"/>
    <x v="0"/>
    <x v="722"/>
    <n v="22"/>
    <x v="3"/>
    <n v="1296.44"/>
    <n v="1751.24"/>
    <x v="1"/>
    <n v="0.22"/>
    <x v="0"/>
    <x v="0"/>
    <x v="7"/>
  </r>
  <r>
    <n v="1080"/>
    <d v="2023-07-07T00:00:00"/>
    <s v="2023"/>
    <x v="11"/>
    <s v="Friday"/>
    <x v="2"/>
    <x v="1"/>
    <x v="723"/>
    <n v="14"/>
    <x v="1"/>
    <n v="4127.54"/>
    <n v="4495.13"/>
    <x v="1"/>
    <n v="0.06"/>
    <x v="1"/>
    <x v="1"/>
    <x v="5"/>
  </r>
  <r>
    <n v="1085"/>
    <d v="2023-01-07T00:00:00"/>
    <s v="2023"/>
    <x v="5"/>
    <s v="Saturday"/>
    <x v="3"/>
    <x v="1"/>
    <x v="724"/>
    <n v="16"/>
    <x v="1"/>
    <n v="472.08"/>
    <n v="842.46"/>
    <x v="1"/>
    <n v="0"/>
    <x v="0"/>
    <x v="1"/>
    <x v="8"/>
  </r>
  <r>
    <n v="1075"/>
    <d v="2023-05-13T00:00:00"/>
    <s v="2023"/>
    <x v="10"/>
    <s v="Saturday"/>
    <x v="0"/>
    <x v="3"/>
    <x v="725"/>
    <n v="36"/>
    <x v="2"/>
    <n v="4337.6099999999997"/>
    <n v="4386.82"/>
    <x v="0"/>
    <n v="0.23"/>
    <x v="2"/>
    <x v="0"/>
    <x v="12"/>
  </r>
  <r>
    <n v="1036"/>
    <d v="2023-08-23T00:00:00"/>
    <s v="2023"/>
    <x v="3"/>
    <s v="Wednesday"/>
    <x v="1"/>
    <x v="3"/>
    <x v="726"/>
    <n v="25"/>
    <x v="1"/>
    <n v="2520.9699999999998"/>
    <n v="2707.1099999999901"/>
    <x v="1"/>
    <n v="0.25"/>
    <x v="0"/>
    <x v="1"/>
    <x v="16"/>
  </r>
  <r>
    <n v="1099"/>
    <d v="2023-02-14T00:00:00"/>
    <s v="2023"/>
    <x v="0"/>
    <s v="Tuesday"/>
    <x v="1"/>
    <x v="2"/>
    <x v="727"/>
    <n v="32"/>
    <x v="2"/>
    <n v="1517.86"/>
    <n v="1948.46"/>
    <x v="1"/>
    <n v="0.02"/>
    <x v="2"/>
    <x v="0"/>
    <x v="2"/>
  </r>
  <r>
    <n v="1019"/>
    <d v="2023-11-10T00:00:00"/>
    <s v="2023"/>
    <x v="8"/>
    <s v="Friday"/>
    <x v="0"/>
    <x v="3"/>
    <x v="728"/>
    <n v="33"/>
    <x v="0"/>
    <n v="1362.31"/>
    <n v="1486.29"/>
    <x v="0"/>
    <n v="0.18"/>
    <x v="2"/>
    <x v="1"/>
    <x v="12"/>
  </r>
  <r>
    <n v="1020"/>
    <d v="2023-09-06T00:00:00"/>
    <s v="2023"/>
    <x v="2"/>
    <s v="Wednesday"/>
    <x v="0"/>
    <x v="3"/>
    <x v="729"/>
    <n v="45"/>
    <x v="2"/>
    <n v="2188.4499999999998"/>
    <n v="2255.0499999999902"/>
    <x v="1"/>
    <n v="0.11"/>
    <x v="1"/>
    <x v="1"/>
    <x v="12"/>
  </r>
  <r>
    <n v="1057"/>
    <d v="2023-01-31T00:00:00"/>
    <s v="2023"/>
    <x v="5"/>
    <s v="Tuesday"/>
    <x v="2"/>
    <x v="0"/>
    <x v="730"/>
    <n v="36"/>
    <x v="1"/>
    <n v="4995.3"/>
    <n v="5165.09"/>
    <x v="0"/>
    <n v="0.24"/>
    <x v="0"/>
    <x v="0"/>
    <x v="19"/>
  </r>
  <r>
    <n v="1018"/>
    <d v="2023-01-23T00:00:00"/>
    <s v="2023"/>
    <x v="5"/>
    <s v="Monday"/>
    <x v="1"/>
    <x v="0"/>
    <x v="731"/>
    <n v="20"/>
    <x v="0"/>
    <n v="1140.6199999999999"/>
    <n v="1258.6299999999901"/>
    <x v="0"/>
    <n v="0.26"/>
    <x v="1"/>
    <x v="0"/>
    <x v="11"/>
  </r>
  <r>
    <n v="1047"/>
    <d v="2023-06-09T00:00:00"/>
    <s v="2023"/>
    <x v="6"/>
    <s v="Friday"/>
    <x v="1"/>
    <x v="3"/>
    <x v="732"/>
    <n v="18"/>
    <x v="2"/>
    <n v="560.91999999999996"/>
    <n v="1024.31"/>
    <x v="0"/>
    <n v="0.26"/>
    <x v="0"/>
    <x v="0"/>
    <x v="16"/>
  </r>
  <r>
    <n v="1049"/>
    <d v="2023-12-29T00:00:00"/>
    <s v="2023"/>
    <x v="9"/>
    <s v="Friday"/>
    <x v="2"/>
    <x v="2"/>
    <x v="733"/>
    <n v="38"/>
    <x v="1"/>
    <n v="2945.92"/>
    <n v="3381.22"/>
    <x v="0"/>
    <n v="0.23"/>
    <x v="0"/>
    <x v="1"/>
    <x v="10"/>
  </r>
  <r>
    <n v="1014"/>
    <d v="2023-06-07T00:00:00"/>
    <s v="2023"/>
    <x v="6"/>
    <s v="Wednesday"/>
    <x v="4"/>
    <x v="0"/>
    <x v="734"/>
    <n v="3"/>
    <x v="3"/>
    <n v="2468.29"/>
    <n v="2723.13"/>
    <x v="0"/>
    <n v="0.08"/>
    <x v="0"/>
    <x v="1"/>
    <x v="15"/>
  </r>
  <r>
    <n v="1015"/>
    <d v="2023-02-08T00:00:00"/>
    <s v="2023"/>
    <x v="0"/>
    <s v="Wednesday"/>
    <x v="2"/>
    <x v="3"/>
    <x v="735"/>
    <n v="23"/>
    <x v="3"/>
    <n v="2644.77"/>
    <n v="2684.83"/>
    <x v="1"/>
    <n v="0.24"/>
    <x v="0"/>
    <x v="0"/>
    <x v="4"/>
  </r>
  <r>
    <n v="1031"/>
    <d v="2023-03-23T00:00:00"/>
    <s v="2023"/>
    <x v="4"/>
    <s v="Thursday"/>
    <x v="3"/>
    <x v="3"/>
    <x v="736"/>
    <n v="32"/>
    <x v="2"/>
    <n v="3351.33"/>
    <n v="3711.47"/>
    <x v="1"/>
    <n v="0.16"/>
    <x v="0"/>
    <x v="1"/>
    <x v="14"/>
  </r>
  <r>
    <n v="1001"/>
    <d v="2023-12-22T00:00:00"/>
    <s v="2023"/>
    <x v="9"/>
    <s v="Friday"/>
    <x v="1"/>
    <x v="1"/>
    <x v="737"/>
    <n v="45"/>
    <x v="2"/>
    <n v="1372.36"/>
    <n v="1687.83"/>
    <x v="1"/>
    <n v="0.02"/>
    <x v="2"/>
    <x v="0"/>
    <x v="13"/>
  </r>
  <r>
    <n v="1054"/>
    <d v="2023-09-15T00:00:00"/>
    <s v="2023"/>
    <x v="2"/>
    <s v="Friday"/>
    <x v="0"/>
    <x v="2"/>
    <x v="738"/>
    <n v="16"/>
    <x v="3"/>
    <n v="4557.79"/>
    <n v="5043.3599999999997"/>
    <x v="0"/>
    <n v="0.14000000000000001"/>
    <x v="2"/>
    <x v="1"/>
    <x v="3"/>
  </r>
  <r>
    <n v="1003"/>
    <d v="2023-07-25T00:00:00"/>
    <s v="2023"/>
    <x v="11"/>
    <s v="Tuesday"/>
    <x v="3"/>
    <x v="1"/>
    <x v="739"/>
    <n v="5"/>
    <x v="1"/>
    <n v="2206.58"/>
    <n v="2490.4699999999998"/>
    <x v="1"/>
    <n v="0.28000000000000003"/>
    <x v="0"/>
    <x v="0"/>
    <x v="8"/>
  </r>
  <r>
    <n v="1016"/>
    <d v="2023-03-18T00:00:00"/>
    <s v="2023"/>
    <x v="4"/>
    <s v="Saturday"/>
    <x v="1"/>
    <x v="2"/>
    <x v="740"/>
    <n v="4"/>
    <x v="1"/>
    <n v="688.98"/>
    <n v="863.81"/>
    <x v="1"/>
    <n v="0.27"/>
    <x v="2"/>
    <x v="1"/>
    <x v="2"/>
  </r>
  <r>
    <n v="1087"/>
    <d v="2023-01-12T00:00:00"/>
    <s v="2023"/>
    <x v="5"/>
    <s v="Thursday"/>
    <x v="2"/>
    <x v="0"/>
    <x v="741"/>
    <n v="21"/>
    <x v="1"/>
    <n v="3724.38"/>
    <n v="3988.7"/>
    <x v="1"/>
    <n v="0.03"/>
    <x v="1"/>
    <x v="1"/>
    <x v="19"/>
  </r>
  <r>
    <n v="1057"/>
    <d v="2023-10-22T00:00:00"/>
    <s v="2023"/>
    <x v="7"/>
    <s v="Sunday"/>
    <x v="3"/>
    <x v="2"/>
    <x v="742"/>
    <n v="40"/>
    <x v="2"/>
    <n v="3233.37"/>
    <n v="3723.21"/>
    <x v="1"/>
    <n v="0.22"/>
    <x v="1"/>
    <x v="1"/>
    <x v="6"/>
  </r>
  <r>
    <n v="1075"/>
    <d v="2023-08-12T00:00:00"/>
    <s v="2023"/>
    <x v="3"/>
    <s v="Saturday"/>
    <x v="1"/>
    <x v="3"/>
    <x v="743"/>
    <n v="14"/>
    <x v="0"/>
    <n v="1612.93"/>
    <n v="1964.15"/>
    <x v="0"/>
    <n v="0.24"/>
    <x v="1"/>
    <x v="1"/>
    <x v="16"/>
  </r>
  <r>
    <n v="1012"/>
    <d v="2023-01-13T00:00:00"/>
    <s v="2023"/>
    <x v="5"/>
    <s v="Friday"/>
    <x v="4"/>
    <x v="3"/>
    <x v="744"/>
    <n v="39"/>
    <x v="0"/>
    <n v="3126.52"/>
    <n v="3465.79"/>
    <x v="1"/>
    <n v="0.08"/>
    <x v="0"/>
    <x v="0"/>
    <x v="18"/>
  </r>
  <r>
    <n v="1074"/>
    <d v="2023-02-15T00:00:00"/>
    <s v="2023"/>
    <x v="0"/>
    <s v="Wednesday"/>
    <x v="4"/>
    <x v="2"/>
    <x v="745"/>
    <n v="31"/>
    <x v="0"/>
    <n v="1138.32"/>
    <n v="1266.25"/>
    <x v="0"/>
    <n v="0.14000000000000001"/>
    <x v="0"/>
    <x v="1"/>
    <x v="9"/>
  </r>
  <r>
    <n v="1096"/>
    <d v="2023-06-04T00:00:00"/>
    <s v="2023"/>
    <x v="6"/>
    <s v="Sunday"/>
    <x v="0"/>
    <x v="2"/>
    <x v="746"/>
    <n v="14"/>
    <x v="0"/>
    <n v="2251.9499999999998"/>
    <n v="2626.3199999999902"/>
    <x v="0"/>
    <n v="0.21"/>
    <x v="2"/>
    <x v="0"/>
    <x v="3"/>
  </r>
  <r>
    <n v="1016"/>
    <d v="2023-04-23T00:00:00"/>
    <s v="2023"/>
    <x v="1"/>
    <s v="Sunday"/>
    <x v="1"/>
    <x v="2"/>
    <x v="747"/>
    <n v="6"/>
    <x v="0"/>
    <n v="4502.09"/>
    <n v="4879.72"/>
    <x v="1"/>
    <n v="0.13"/>
    <x v="2"/>
    <x v="0"/>
    <x v="2"/>
  </r>
  <r>
    <n v="1072"/>
    <d v="2023-08-21T00:00:00"/>
    <s v="2023"/>
    <x v="3"/>
    <s v="Monday"/>
    <x v="4"/>
    <x v="1"/>
    <x v="748"/>
    <n v="12"/>
    <x v="2"/>
    <n v="710.99"/>
    <n v="876.46"/>
    <x v="0"/>
    <n v="0.03"/>
    <x v="2"/>
    <x v="0"/>
    <x v="17"/>
  </r>
  <r>
    <n v="1076"/>
    <d v="2023-01-17T00:00:00"/>
    <s v="2023"/>
    <x v="5"/>
    <s v="Tuesday"/>
    <x v="2"/>
    <x v="2"/>
    <x v="749"/>
    <n v="16"/>
    <x v="2"/>
    <n v="1964.15"/>
    <n v="2211.17"/>
    <x v="0"/>
    <n v="0.21"/>
    <x v="1"/>
    <x v="0"/>
    <x v="10"/>
  </r>
  <r>
    <n v="1024"/>
    <d v="2023-12-26T00:00:00"/>
    <s v="2023"/>
    <x v="9"/>
    <s v="Tuesday"/>
    <x v="1"/>
    <x v="0"/>
    <x v="750"/>
    <n v="17"/>
    <x v="0"/>
    <n v="4114.66"/>
    <n v="4269.0199999999904"/>
    <x v="0"/>
    <n v="0.27"/>
    <x v="1"/>
    <x v="1"/>
    <x v="11"/>
  </r>
  <r>
    <n v="1028"/>
    <d v="2023-08-11T00:00:00"/>
    <s v="2023"/>
    <x v="3"/>
    <s v="Friday"/>
    <x v="2"/>
    <x v="1"/>
    <x v="751"/>
    <n v="45"/>
    <x v="2"/>
    <n v="4848.9799999999996"/>
    <n v="4985.75"/>
    <x v="0"/>
    <n v="0.2"/>
    <x v="1"/>
    <x v="0"/>
    <x v="5"/>
  </r>
  <r>
    <n v="1008"/>
    <d v="2023-12-20T00:00:00"/>
    <s v="2023"/>
    <x v="9"/>
    <s v="Wednesday"/>
    <x v="2"/>
    <x v="1"/>
    <x v="752"/>
    <n v="23"/>
    <x v="2"/>
    <n v="2296.9299999999998"/>
    <n v="2319.62"/>
    <x v="0"/>
    <n v="0.23"/>
    <x v="1"/>
    <x v="1"/>
    <x v="5"/>
  </r>
  <r>
    <n v="1092"/>
    <d v="2023-07-07T00:00:00"/>
    <s v="2023"/>
    <x v="11"/>
    <s v="Friday"/>
    <x v="4"/>
    <x v="2"/>
    <x v="753"/>
    <n v="14"/>
    <x v="0"/>
    <n v="2559.65"/>
    <n v="2709.4"/>
    <x v="0"/>
    <n v="0.11"/>
    <x v="2"/>
    <x v="1"/>
    <x v="9"/>
  </r>
  <r>
    <n v="1036"/>
    <d v="2023-12-10T00:00:00"/>
    <s v="2023"/>
    <x v="9"/>
    <s v="Sunday"/>
    <x v="1"/>
    <x v="0"/>
    <x v="754"/>
    <n v="7"/>
    <x v="1"/>
    <n v="2882.25"/>
    <n v="3163.7"/>
    <x v="0"/>
    <n v="0.05"/>
    <x v="0"/>
    <x v="1"/>
    <x v="11"/>
  </r>
  <r>
    <n v="1090"/>
    <d v="2023-12-31T00:00:00"/>
    <s v="2023"/>
    <x v="9"/>
    <s v="Sunday"/>
    <x v="3"/>
    <x v="1"/>
    <x v="755"/>
    <n v="46"/>
    <x v="2"/>
    <n v="4665.12"/>
    <n v="4675.8999999999996"/>
    <x v="1"/>
    <n v="0.19"/>
    <x v="0"/>
    <x v="1"/>
    <x v="8"/>
  </r>
  <r>
    <n v="1008"/>
    <d v="2023-06-12T00:00:00"/>
    <s v="2023"/>
    <x v="6"/>
    <s v="Monday"/>
    <x v="4"/>
    <x v="3"/>
    <x v="756"/>
    <n v="32"/>
    <x v="1"/>
    <n v="4298.12"/>
    <n v="4446.8999999999996"/>
    <x v="1"/>
    <n v="0.1"/>
    <x v="1"/>
    <x v="0"/>
    <x v="18"/>
  </r>
  <r>
    <n v="1058"/>
    <d v="2023-11-22T00:00:00"/>
    <s v="2023"/>
    <x v="8"/>
    <s v="Wednesday"/>
    <x v="4"/>
    <x v="1"/>
    <x v="757"/>
    <n v="15"/>
    <x v="2"/>
    <n v="894.48"/>
    <n v="1336.37"/>
    <x v="0"/>
    <n v="0.26"/>
    <x v="0"/>
    <x v="1"/>
    <x v="17"/>
  </r>
  <r>
    <n v="1060"/>
    <d v="2023-03-15T00:00:00"/>
    <s v="2023"/>
    <x v="4"/>
    <s v="Wednesday"/>
    <x v="1"/>
    <x v="2"/>
    <x v="758"/>
    <n v="44"/>
    <x v="2"/>
    <n v="2211.9499999999998"/>
    <n v="2512.8399999999901"/>
    <x v="0"/>
    <n v="0.04"/>
    <x v="0"/>
    <x v="0"/>
    <x v="2"/>
  </r>
  <r>
    <n v="1050"/>
    <d v="2023-08-21T00:00:00"/>
    <s v="2023"/>
    <x v="3"/>
    <s v="Monday"/>
    <x v="1"/>
    <x v="0"/>
    <x v="759"/>
    <n v="17"/>
    <x v="0"/>
    <n v="2346.8000000000002"/>
    <n v="2654.65"/>
    <x v="1"/>
    <n v="0.13"/>
    <x v="0"/>
    <x v="1"/>
    <x v="11"/>
  </r>
  <r>
    <n v="1028"/>
    <d v="2023-08-12T00:00:00"/>
    <s v="2023"/>
    <x v="3"/>
    <s v="Saturday"/>
    <x v="2"/>
    <x v="2"/>
    <x v="760"/>
    <n v="41"/>
    <x v="2"/>
    <n v="3956.03"/>
    <n v="4163.68"/>
    <x v="1"/>
    <n v="0.12"/>
    <x v="1"/>
    <x v="1"/>
    <x v="10"/>
  </r>
  <r>
    <n v="1092"/>
    <d v="2023-11-15T00:00:00"/>
    <s v="2023"/>
    <x v="8"/>
    <s v="Wednesday"/>
    <x v="1"/>
    <x v="3"/>
    <x v="761"/>
    <n v="47"/>
    <x v="3"/>
    <n v="3034.32"/>
    <n v="3375.79"/>
    <x v="1"/>
    <n v="0.28000000000000003"/>
    <x v="2"/>
    <x v="0"/>
    <x v="16"/>
  </r>
  <r>
    <n v="1041"/>
    <d v="2023-03-01T00:00:00"/>
    <s v="2023"/>
    <x v="4"/>
    <s v="Wednesday"/>
    <x v="2"/>
    <x v="3"/>
    <x v="762"/>
    <n v="44"/>
    <x v="3"/>
    <n v="3288.39"/>
    <n v="3391.46"/>
    <x v="1"/>
    <n v="0.05"/>
    <x v="2"/>
    <x v="1"/>
    <x v="4"/>
  </r>
  <r>
    <n v="1100"/>
    <d v="2023-12-01T00:00:00"/>
    <s v="2023"/>
    <x v="9"/>
    <s v="Friday"/>
    <x v="4"/>
    <x v="3"/>
    <x v="763"/>
    <n v="34"/>
    <x v="0"/>
    <n v="4991.09"/>
    <n v="5402.28"/>
    <x v="0"/>
    <n v="0"/>
    <x v="0"/>
    <x v="1"/>
    <x v="18"/>
  </r>
  <r>
    <n v="1064"/>
    <d v="2023-08-10T00:00:00"/>
    <s v="2023"/>
    <x v="3"/>
    <s v="Thursday"/>
    <x v="0"/>
    <x v="2"/>
    <x v="764"/>
    <n v="5"/>
    <x v="1"/>
    <n v="421.05"/>
    <n v="488.23"/>
    <x v="0"/>
    <n v="7.0000000000000007E-2"/>
    <x v="2"/>
    <x v="1"/>
    <x v="3"/>
  </r>
  <r>
    <n v="1027"/>
    <d v="2023-02-06T00:00:00"/>
    <s v="2023"/>
    <x v="0"/>
    <s v="Monday"/>
    <x v="3"/>
    <x v="1"/>
    <x v="765"/>
    <n v="45"/>
    <x v="1"/>
    <n v="1153.9000000000001"/>
    <n v="1485.34"/>
    <x v="1"/>
    <n v="0.25"/>
    <x v="2"/>
    <x v="1"/>
    <x v="8"/>
  </r>
  <r>
    <n v="1063"/>
    <d v="2023-10-05T00:00:00"/>
    <s v="2023"/>
    <x v="7"/>
    <s v="Thursday"/>
    <x v="4"/>
    <x v="2"/>
    <x v="766"/>
    <n v="27"/>
    <x v="1"/>
    <n v="2069.08"/>
    <n v="2246.2399999999998"/>
    <x v="1"/>
    <n v="0.06"/>
    <x v="1"/>
    <x v="1"/>
    <x v="9"/>
  </r>
  <r>
    <n v="1017"/>
    <d v="2023-07-15T00:00:00"/>
    <s v="2023"/>
    <x v="11"/>
    <s v="Saturday"/>
    <x v="1"/>
    <x v="0"/>
    <x v="767"/>
    <n v="23"/>
    <x v="3"/>
    <n v="1771.52"/>
    <n v="2147.8000000000002"/>
    <x v="1"/>
    <n v="7.0000000000000007E-2"/>
    <x v="1"/>
    <x v="0"/>
    <x v="11"/>
  </r>
  <r>
    <n v="1073"/>
    <d v="2023-12-18T00:00:00"/>
    <s v="2023"/>
    <x v="9"/>
    <s v="Monday"/>
    <x v="3"/>
    <x v="1"/>
    <x v="768"/>
    <n v="40"/>
    <x v="1"/>
    <n v="157.15"/>
    <n v="436.53"/>
    <x v="1"/>
    <n v="0.04"/>
    <x v="0"/>
    <x v="1"/>
    <x v="8"/>
  </r>
  <r>
    <n v="1033"/>
    <d v="2023-08-30T00:00:00"/>
    <s v="2023"/>
    <x v="3"/>
    <s v="Wednesday"/>
    <x v="0"/>
    <x v="3"/>
    <x v="769"/>
    <n v="14"/>
    <x v="1"/>
    <n v="504.3"/>
    <n v="735.95"/>
    <x v="0"/>
    <n v="0.21"/>
    <x v="0"/>
    <x v="1"/>
    <x v="12"/>
  </r>
  <r>
    <n v="1084"/>
    <d v="2023-11-20T00:00:00"/>
    <s v="2023"/>
    <x v="8"/>
    <s v="Monday"/>
    <x v="0"/>
    <x v="2"/>
    <x v="770"/>
    <n v="15"/>
    <x v="0"/>
    <n v="3420.72"/>
    <n v="3513.74"/>
    <x v="1"/>
    <n v="0.02"/>
    <x v="0"/>
    <x v="0"/>
    <x v="3"/>
  </r>
  <r>
    <n v="1077"/>
    <d v="2023-08-07T00:00:00"/>
    <s v="2023"/>
    <x v="3"/>
    <s v="Monday"/>
    <x v="2"/>
    <x v="3"/>
    <x v="771"/>
    <n v="43"/>
    <x v="1"/>
    <n v="4402.66"/>
    <n v="4724.7"/>
    <x v="1"/>
    <n v="0.1"/>
    <x v="1"/>
    <x v="1"/>
    <x v="4"/>
  </r>
  <r>
    <n v="1092"/>
    <d v="2023-07-11T00:00:00"/>
    <s v="2023"/>
    <x v="11"/>
    <s v="Tuesday"/>
    <x v="3"/>
    <x v="3"/>
    <x v="772"/>
    <n v="33"/>
    <x v="3"/>
    <n v="2595.42"/>
    <n v="3083.06"/>
    <x v="1"/>
    <n v="0.08"/>
    <x v="2"/>
    <x v="0"/>
    <x v="14"/>
  </r>
  <r>
    <n v="1029"/>
    <d v="2023-01-17T00:00:00"/>
    <s v="2023"/>
    <x v="5"/>
    <s v="Tuesday"/>
    <x v="2"/>
    <x v="0"/>
    <x v="773"/>
    <n v="31"/>
    <x v="3"/>
    <n v="2719"/>
    <n v="3133.55"/>
    <x v="0"/>
    <n v="0.17"/>
    <x v="1"/>
    <x v="1"/>
    <x v="19"/>
  </r>
  <r>
    <n v="1013"/>
    <d v="2023-01-12T00:00:00"/>
    <s v="2023"/>
    <x v="5"/>
    <s v="Thursday"/>
    <x v="4"/>
    <x v="1"/>
    <x v="774"/>
    <n v="35"/>
    <x v="3"/>
    <n v="1312.71"/>
    <n v="1352.11"/>
    <x v="0"/>
    <n v="0.22"/>
    <x v="1"/>
    <x v="1"/>
    <x v="17"/>
  </r>
  <r>
    <n v="1046"/>
    <d v="2023-07-12T00:00:00"/>
    <s v="2023"/>
    <x v="11"/>
    <s v="Wednesday"/>
    <x v="3"/>
    <x v="0"/>
    <x v="775"/>
    <n v="17"/>
    <x v="0"/>
    <n v="3850.99"/>
    <n v="4045.3399999999901"/>
    <x v="0"/>
    <n v="0.16"/>
    <x v="2"/>
    <x v="0"/>
    <x v="7"/>
  </r>
  <r>
    <n v="1035"/>
    <d v="2023-01-22T00:00:00"/>
    <s v="2023"/>
    <x v="5"/>
    <s v="Sunday"/>
    <x v="4"/>
    <x v="0"/>
    <x v="776"/>
    <n v="28"/>
    <x v="0"/>
    <n v="3771.38"/>
    <n v="4234.92"/>
    <x v="1"/>
    <n v="0.28000000000000003"/>
    <x v="2"/>
    <x v="1"/>
    <x v="15"/>
  </r>
  <r>
    <n v="1006"/>
    <d v="2023-04-30T00:00:00"/>
    <s v="2023"/>
    <x v="1"/>
    <s v="Sunday"/>
    <x v="2"/>
    <x v="0"/>
    <x v="777"/>
    <n v="19"/>
    <x v="2"/>
    <n v="2962.41"/>
    <n v="3218.8999999999901"/>
    <x v="1"/>
    <n v="0.28999999999999998"/>
    <x v="0"/>
    <x v="1"/>
    <x v="19"/>
  </r>
  <r>
    <n v="1082"/>
    <d v="2023-07-29T00:00:00"/>
    <s v="2023"/>
    <x v="11"/>
    <s v="Saturday"/>
    <x v="3"/>
    <x v="3"/>
    <x v="778"/>
    <n v="46"/>
    <x v="1"/>
    <n v="1102.69"/>
    <n v="1437.12"/>
    <x v="1"/>
    <n v="0.11"/>
    <x v="2"/>
    <x v="0"/>
    <x v="14"/>
  </r>
  <r>
    <n v="1069"/>
    <d v="2023-11-02T00:00:00"/>
    <s v="2023"/>
    <x v="8"/>
    <s v="Thursday"/>
    <x v="2"/>
    <x v="0"/>
    <x v="779"/>
    <n v="23"/>
    <x v="0"/>
    <n v="530.24"/>
    <n v="987.41"/>
    <x v="0"/>
    <n v="0.23"/>
    <x v="2"/>
    <x v="0"/>
    <x v="19"/>
  </r>
  <r>
    <n v="1047"/>
    <d v="2023-09-27T00:00:00"/>
    <s v="2023"/>
    <x v="2"/>
    <s v="Wednesday"/>
    <x v="3"/>
    <x v="0"/>
    <x v="780"/>
    <n v="32"/>
    <x v="3"/>
    <n v="367.98"/>
    <n v="806.14"/>
    <x v="0"/>
    <n v="0.22"/>
    <x v="2"/>
    <x v="1"/>
    <x v="7"/>
  </r>
  <r>
    <n v="1025"/>
    <d v="2023-07-11T00:00:00"/>
    <s v="2023"/>
    <x v="11"/>
    <s v="Tuesday"/>
    <x v="2"/>
    <x v="1"/>
    <x v="781"/>
    <n v="40"/>
    <x v="3"/>
    <n v="2983.85"/>
    <n v="3239.74"/>
    <x v="1"/>
    <n v="0.27"/>
    <x v="2"/>
    <x v="0"/>
    <x v="5"/>
  </r>
  <r>
    <n v="1066"/>
    <d v="2023-06-24T00:00:00"/>
    <s v="2023"/>
    <x v="6"/>
    <s v="Saturday"/>
    <x v="0"/>
    <x v="1"/>
    <x v="782"/>
    <n v="13"/>
    <x v="0"/>
    <n v="4133.92"/>
    <n v="4358.37"/>
    <x v="1"/>
    <n v="0.13"/>
    <x v="0"/>
    <x v="1"/>
    <x v="1"/>
  </r>
  <r>
    <n v="1010"/>
    <d v="2023-10-12T00:00:00"/>
    <s v="2023"/>
    <x v="7"/>
    <s v="Thursday"/>
    <x v="2"/>
    <x v="0"/>
    <x v="783"/>
    <n v="20"/>
    <x v="0"/>
    <n v="4298.74"/>
    <n v="4475.1899999999996"/>
    <x v="0"/>
    <n v="0.16"/>
    <x v="0"/>
    <x v="0"/>
    <x v="19"/>
  </r>
  <r>
    <n v="1056"/>
    <d v="2023-07-23T00:00:00"/>
    <s v="2023"/>
    <x v="11"/>
    <s v="Sunday"/>
    <x v="0"/>
    <x v="1"/>
    <x v="784"/>
    <n v="35"/>
    <x v="0"/>
    <n v="2344.9299999999998"/>
    <n v="2707.25"/>
    <x v="1"/>
    <n v="0.12"/>
    <x v="2"/>
    <x v="1"/>
    <x v="1"/>
  </r>
  <r>
    <n v="1030"/>
    <d v="2023-06-13T00:00:00"/>
    <s v="2023"/>
    <x v="6"/>
    <s v="Tuesday"/>
    <x v="2"/>
    <x v="1"/>
    <x v="785"/>
    <n v="5"/>
    <x v="2"/>
    <n v="3932.14"/>
    <n v="4082.7599999999902"/>
    <x v="1"/>
    <n v="0.26"/>
    <x v="2"/>
    <x v="0"/>
    <x v="5"/>
  </r>
  <r>
    <n v="1005"/>
    <d v="2023-09-08T00:00:00"/>
    <s v="2023"/>
    <x v="2"/>
    <s v="Friday"/>
    <x v="3"/>
    <x v="0"/>
    <x v="786"/>
    <n v="9"/>
    <x v="3"/>
    <n v="4737.0600000000004"/>
    <n v="4869.5"/>
    <x v="1"/>
    <n v="7.0000000000000007E-2"/>
    <x v="0"/>
    <x v="0"/>
    <x v="7"/>
  </r>
  <r>
    <n v="1033"/>
    <d v="2023-08-15T00:00:00"/>
    <s v="2023"/>
    <x v="3"/>
    <s v="Tuesday"/>
    <x v="3"/>
    <x v="3"/>
    <x v="787"/>
    <n v="29"/>
    <x v="2"/>
    <n v="1412.09"/>
    <n v="1596.6499999999901"/>
    <x v="0"/>
    <n v="7.0000000000000007E-2"/>
    <x v="0"/>
    <x v="0"/>
    <x v="14"/>
  </r>
  <r>
    <n v="1065"/>
    <d v="2023-01-07T00:00:00"/>
    <s v="2023"/>
    <x v="5"/>
    <s v="Saturday"/>
    <x v="3"/>
    <x v="0"/>
    <x v="788"/>
    <n v="6"/>
    <x v="2"/>
    <n v="2019.9"/>
    <n v="2116.7399999999998"/>
    <x v="1"/>
    <n v="0.11"/>
    <x v="2"/>
    <x v="0"/>
    <x v="7"/>
  </r>
  <r>
    <n v="1018"/>
    <d v="2023-01-29T00:00:00"/>
    <s v="2023"/>
    <x v="5"/>
    <s v="Sunday"/>
    <x v="1"/>
    <x v="1"/>
    <x v="789"/>
    <n v="25"/>
    <x v="1"/>
    <n v="4660.82"/>
    <n v="5011.4299999999903"/>
    <x v="1"/>
    <n v="7.0000000000000007E-2"/>
    <x v="1"/>
    <x v="0"/>
    <x v="13"/>
  </r>
  <r>
    <n v="1096"/>
    <d v="2023-02-02T00:00:00"/>
    <s v="2023"/>
    <x v="0"/>
    <s v="Thursday"/>
    <x v="4"/>
    <x v="3"/>
    <x v="790"/>
    <n v="31"/>
    <x v="3"/>
    <n v="1724.24"/>
    <n v="2036.2"/>
    <x v="1"/>
    <n v="0.17"/>
    <x v="0"/>
    <x v="0"/>
    <x v="18"/>
  </r>
  <r>
    <n v="1049"/>
    <d v="2023-05-14T00:00:00"/>
    <s v="2023"/>
    <x v="10"/>
    <s v="Sunday"/>
    <x v="3"/>
    <x v="2"/>
    <x v="791"/>
    <n v="22"/>
    <x v="3"/>
    <n v="4573.6899999999996"/>
    <n v="4820.2999999999902"/>
    <x v="1"/>
    <n v="0.04"/>
    <x v="0"/>
    <x v="0"/>
    <x v="6"/>
  </r>
  <r>
    <n v="1011"/>
    <d v="2023-03-20T00:00:00"/>
    <s v="2023"/>
    <x v="4"/>
    <s v="Monday"/>
    <x v="0"/>
    <x v="3"/>
    <x v="792"/>
    <n v="2"/>
    <x v="0"/>
    <n v="4906.17"/>
    <n v="5107.43"/>
    <x v="0"/>
    <n v="0.1"/>
    <x v="0"/>
    <x v="0"/>
    <x v="12"/>
  </r>
  <r>
    <n v="1085"/>
    <d v="2023-02-27T00:00:00"/>
    <s v="2023"/>
    <x v="0"/>
    <s v="Monday"/>
    <x v="3"/>
    <x v="1"/>
    <x v="793"/>
    <n v="45"/>
    <x v="0"/>
    <n v="3325.96"/>
    <n v="3781.4"/>
    <x v="0"/>
    <n v="0.27"/>
    <x v="2"/>
    <x v="0"/>
    <x v="8"/>
  </r>
  <r>
    <n v="1026"/>
    <d v="2023-01-26T00:00:00"/>
    <s v="2023"/>
    <x v="5"/>
    <s v="Thursday"/>
    <x v="1"/>
    <x v="3"/>
    <x v="794"/>
    <n v="5"/>
    <x v="1"/>
    <n v="4093.61"/>
    <n v="4117.88"/>
    <x v="0"/>
    <n v="0.12"/>
    <x v="2"/>
    <x v="1"/>
    <x v="16"/>
  </r>
  <r>
    <n v="1063"/>
    <d v="2023-08-14T00:00:00"/>
    <s v="2023"/>
    <x v="3"/>
    <s v="Monday"/>
    <x v="0"/>
    <x v="0"/>
    <x v="795"/>
    <n v="27"/>
    <x v="2"/>
    <n v="3760.25"/>
    <n v="4147.1099999999997"/>
    <x v="1"/>
    <n v="0.22"/>
    <x v="0"/>
    <x v="0"/>
    <x v="0"/>
  </r>
  <r>
    <n v="1089"/>
    <d v="2023-10-12T00:00:00"/>
    <s v="2023"/>
    <x v="7"/>
    <s v="Thursday"/>
    <x v="1"/>
    <x v="2"/>
    <x v="796"/>
    <n v="25"/>
    <x v="0"/>
    <n v="3512.69"/>
    <n v="3964.63"/>
    <x v="0"/>
    <n v="0.03"/>
    <x v="2"/>
    <x v="1"/>
    <x v="2"/>
  </r>
  <r>
    <n v="1086"/>
    <d v="2023-01-04T00:00:00"/>
    <s v="2023"/>
    <x v="5"/>
    <s v="Wednesday"/>
    <x v="0"/>
    <x v="2"/>
    <x v="797"/>
    <n v="8"/>
    <x v="0"/>
    <n v="1569.31"/>
    <n v="1798.02"/>
    <x v="1"/>
    <n v="7.0000000000000007E-2"/>
    <x v="2"/>
    <x v="0"/>
    <x v="3"/>
  </r>
  <r>
    <n v="1059"/>
    <d v="2023-04-09T00:00:00"/>
    <s v="2023"/>
    <x v="1"/>
    <s v="Sunday"/>
    <x v="2"/>
    <x v="2"/>
    <x v="798"/>
    <n v="1"/>
    <x v="3"/>
    <n v="332.62"/>
    <n v="612.46"/>
    <x v="0"/>
    <n v="0.24"/>
    <x v="0"/>
    <x v="1"/>
    <x v="10"/>
  </r>
  <r>
    <n v="1027"/>
    <d v="2023-02-08T00:00:00"/>
    <s v="2023"/>
    <x v="0"/>
    <s v="Wednesday"/>
    <x v="4"/>
    <x v="1"/>
    <x v="799"/>
    <n v="20"/>
    <x v="3"/>
    <n v="1748.11"/>
    <n v="2220.9"/>
    <x v="1"/>
    <n v="0.23"/>
    <x v="2"/>
    <x v="1"/>
    <x v="17"/>
  </r>
  <r>
    <n v="1049"/>
    <d v="2023-09-28T00:00:00"/>
    <s v="2023"/>
    <x v="2"/>
    <s v="Thursday"/>
    <x v="4"/>
    <x v="1"/>
    <x v="800"/>
    <n v="44"/>
    <x v="0"/>
    <n v="3351.33"/>
    <n v="3465.35"/>
    <x v="0"/>
    <n v="0.12"/>
    <x v="1"/>
    <x v="0"/>
    <x v="17"/>
  </r>
  <r>
    <n v="1077"/>
    <d v="2023-10-12T00:00:00"/>
    <s v="2023"/>
    <x v="7"/>
    <s v="Thursday"/>
    <x v="1"/>
    <x v="2"/>
    <x v="801"/>
    <n v="23"/>
    <x v="3"/>
    <n v="557.52"/>
    <n v="822.39"/>
    <x v="0"/>
    <n v="0.28999999999999998"/>
    <x v="2"/>
    <x v="0"/>
    <x v="2"/>
  </r>
  <r>
    <n v="1033"/>
    <d v="2023-06-06T00:00:00"/>
    <s v="2023"/>
    <x v="6"/>
    <s v="Tuesday"/>
    <x v="4"/>
    <x v="3"/>
    <x v="802"/>
    <n v="32"/>
    <x v="1"/>
    <n v="108.99"/>
    <n v="351.6"/>
    <x v="0"/>
    <n v="0.27"/>
    <x v="2"/>
    <x v="1"/>
    <x v="18"/>
  </r>
  <r>
    <n v="1098"/>
    <d v="2023-03-16T00:00:00"/>
    <s v="2023"/>
    <x v="4"/>
    <s v="Thursday"/>
    <x v="1"/>
    <x v="2"/>
    <x v="803"/>
    <n v="11"/>
    <x v="0"/>
    <n v="741.48"/>
    <n v="878.09"/>
    <x v="1"/>
    <n v="0.28999999999999998"/>
    <x v="0"/>
    <x v="1"/>
    <x v="2"/>
  </r>
  <r>
    <n v="1099"/>
    <d v="2023-10-15T00:00:00"/>
    <s v="2023"/>
    <x v="7"/>
    <s v="Sunday"/>
    <x v="1"/>
    <x v="3"/>
    <x v="804"/>
    <n v="39"/>
    <x v="3"/>
    <n v="3592.89"/>
    <n v="4004"/>
    <x v="1"/>
    <n v="0.13"/>
    <x v="0"/>
    <x v="0"/>
    <x v="16"/>
  </r>
  <r>
    <n v="1001"/>
    <d v="2023-05-10T00:00:00"/>
    <s v="2023"/>
    <x v="10"/>
    <s v="Wednesday"/>
    <x v="1"/>
    <x v="3"/>
    <x v="805"/>
    <n v="47"/>
    <x v="1"/>
    <n v="4865.33"/>
    <n v="5316.13"/>
    <x v="1"/>
    <n v="0.06"/>
    <x v="1"/>
    <x v="0"/>
    <x v="16"/>
  </r>
  <r>
    <n v="1021"/>
    <d v="2023-06-24T00:00:00"/>
    <s v="2023"/>
    <x v="6"/>
    <s v="Saturday"/>
    <x v="4"/>
    <x v="1"/>
    <x v="806"/>
    <n v="24"/>
    <x v="3"/>
    <n v="4916.17"/>
    <n v="5309.32"/>
    <x v="0"/>
    <n v="0.19"/>
    <x v="2"/>
    <x v="0"/>
    <x v="17"/>
  </r>
  <r>
    <n v="1055"/>
    <d v="2023-03-25T00:00:00"/>
    <s v="2023"/>
    <x v="4"/>
    <s v="Saturday"/>
    <x v="1"/>
    <x v="3"/>
    <x v="807"/>
    <n v="11"/>
    <x v="3"/>
    <n v="2495.1999999999998"/>
    <n v="2600.9299999999998"/>
    <x v="1"/>
    <n v="0.21"/>
    <x v="1"/>
    <x v="1"/>
    <x v="16"/>
  </r>
  <r>
    <n v="1006"/>
    <d v="2023-01-22T00:00:00"/>
    <s v="2023"/>
    <x v="5"/>
    <s v="Sunday"/>
    <x v="4"/>
    <x v="2"/>
    <x v="808"/>
    <n v="29"/>
    <x v="3"/>
    <n v="4353.29"/>
    <n v="4405.8"/>
    <x v="1"/>
    <n v="0.04"/>
    <x v="1"/>
    <x v="0"/>
    <x v="9"/>
  </r>
  <r>
    <n v="1092"/>
    <d v="2023-01-27T00:00:00"/>
    <s v="2023"/>
    <x v="5"/>
    <s v="Friday"/>
    <x v="1"/>
    <x v="1"/>
    <x v="809"/>
    <n v="26"/>
    <x v="0"/>
    <n v="3697.29"/>
    <n v="4003.96"/>
    <x v="1"/>
    <n v="0.24"/>
    <x v="0"/>
    <x v="0"/>
    <x v="13"/>
  </r>
  <r>
    <n v="1081"/>
    <d v="2023-07-14T00:00:00"/>
    <s v="2023"/>
    <x v="11"/>
    <s v="Friday"/>
    <x v="3"/>
    <x v="0"/>
    <x v="810"/>
    <n v="16"/>
    <x v="2"/>
    <n v="2530.15"/>
    <n v="2568.13"/>
    <x v="1"/>
    <n v="0.01"/>
    <x v="2"/>
    <x v="0"/>
    <x v="7"/>
  </r>
  <r>
    <n v="1069"/>
    <d v="2023-12-03T00:00:00"/>
    <s v="2023"/>
    <x v="9"/>
    <s v="Sunday"/>
    <x v="1"/>
    <x v="0"/>
    <x v="811"/>
    <n v="35"/>
    <x v="3"/>
    <n v="2885.16"/>
    <n v="3224.8399999999901"/>
    <x v="1"/>
    <n v="0.14000000000000001"/>
    <x v="0"/>
    <x v="0"/>
    <x v="11"/>
  </r>
  <r>
    <n v="1095"/>
    <d v="2023-08-24T00:00:00"/>
    <s v="2023"/>
    <x v="3"/>
    <s v="Thursday"/>
    <x v="0"/>
    <x v="1"/>
    <x v="812"/>
    <n v="20"/>
    <x v="1"/>
    <n v="729.27"/>
    <n v="999.18"/>
    <x v="1"/>
    <n v="0.1"/>
    <x v="1"/>
    <x v="0"/>
    <x v="1"/>
  </r>
  <r>
    <n v="1005"/>
    <d v="2023-04-02T00:00:00"/>
    <s v="2023"/>
    <x v="1"/>
    <s v="Sunday"/>
    <x v="1"/>
    <x v="2"/>
    <x v="813"/>
    <n v="46"/>
    <x v="0"/>
    <n v="4691.42"/>
    <n v="5026.1899999999996"/>
    <x v="0"/>
    <n v="0.22"/>
    <x v="1"/>
    <x v="1"/>
    <x v="2"/>
  </r>
  <r>
    <n v="1003"/>
    <d v="2023-01-21T00:00:00"/>
    <s v="2023"/>
    <x v="5"/>
    <s v="Saturday"/>
    <x v="2"/>
    <x v="0"/>
    <x v="814"/>
    <n v="3"/>
    <x v="0"/>
    <n v="1792.05"/>
    <n v="2091.23"/>
    <x v="0"/>
    <n v="0.09"/>
    <x v="0"/>
    <x v="1"/>
    <x v="19"/>
  </r>
  <r>
    <n v="1053"/>
    <d v="2023-10-30T00:00:00"/>
    <s v="2023"/>
    <x v="7"/>
    <s v="Monday"/>
    <x v="1"/>
    <x v="0"/>
    <x v="815"/>
    <n v="1"/>
    <x v="1"/>
    <n v="2258.44"/>
    <n v="2475.56"/>
    <x v="1"/>
    <n v="0.25"/>
    <x v="0"/>
    <x v="0"/>
    <x v="11"/>
  </r>
  <r>
    <n v="1023"/>
    <d v="2023-12-23T00:00:00"/>
    <s v="2023"/>
    <x v="9"/>
    <s v="Saturday"/>
    <x v="0"/>
    <x v="3"/>
    <x v="816"/>
    <n v="47"/>
    <x v="3"/>
    <n v="3374.72"/>
    <n v="3483.1499999999901"/>
    <x v="0"/>
    <n v="0.18"/>
    <x v="0"/>
    <x v="0"/>
    <x v="12"/>
  </r>
  <r>
    <n v="1053"/>
    <d v="2023-03-25T00:00:00"/>
    <s v="2023"/>
    <x v="4"/>
    <s v="Saturday"/>
    <x v="0"/>
    <x v="3"/>
    <x v="817"/>
    <n v="1"/>
    <x v="2"/>
    <n v="1702.82"/>
    <n v="1862.61"/>
    <x v="0"/>
    <n v="0.24"/>
    <x v="0"/>
    <x v="1"/>
    <x v="12"/>
  </r>
  <r>
    <n v="1037"/>
    <d v="2023-09-19T00:00:00"/>
    <s v="2023"/>
    <x v="2"/>
    <s v="Tuesday"/>
    <x v="4"/>
    <x v="2"/>
    <x v="818"/>
    <n v="17"/>
    <x v="3"/>
    <n v="1308.58"/>
    <n v="1575.59"/>
    <x v="1"/>
    <n v="0.3"/>
    <x v="0"/>
    <x v="0"/>
    <x v="9"/>
  </r>
  <r>
    <n v="1074"/>
    <d v="2023-05-27T00:00:00"/>
    <s v="2023"/>
    <x v="10"/>
    <s v="Saturday"/>
    <x v="3"/>
    <x v="1"/>
    <x v="819"/>
    <n v="2"/>
    <x v="1"/>
    <n v="3173.69"/>
    <n v="3503.11"/>
    <x v="1"/>
    <n v="0.2"/>
    <x v="1"/>
    <x v="1"/>
    <x v="8"/>
  </r>
  <r>
    <n v="1074"/>
    <d v="2023-09-14T00:00:00"/>
    <s v="2023"/>
    <x v="2"/>
    <s v="Thursday"/>
    <x v="1"/>
    <x v="2"/>
    <x v="820"/>
    <n v="29"/>
    <x v="0"/>
    <n v="173.67"/>
    <n v="565.62"/>
    <x v="0"/>
    <n v="0.3"/>
    <x v="0"/>
    <x v="0"/>
    <x v="2"/>
  </r>
  <r>
    <n v="1083"/>
    <d v="2023-02-27T00:00:00"/>
    <s v="2023"/>
    <x v="0"/>
    <s v="Monday"/>
    <x v="4"/>
    <x v="1"/>
    <x v="821"/>
    <n v="20"/>
    <x v="2"/>
    <n v="3617.59"/>
    <n v="4003.5"/>
    <x v="1"/>
    <n v="0.01"/>
    <x v="2"/>
    <x v="1"/>
    <x v="17"/>
  </r>
  <r>
    <n v="1017"/>
    <d v="2023-01-15T00:00:00"/>
    <s v="2023"/>
    <x v="5"/>
    <s v="Sunday"/>
    <x v="3"/>
    <x v="0"/>
    <x v="822"/>
    <n v="6"/>
    <x v="0"/>
    <n v="2594.42"/>
    <n v="3081.04"/>
    <x v="0"/>
    <n v="0.1"/>
    <x v="1"/>
    <x v="1"/>
    <x v="7"/>
  </r>
  <r>
    <n v="1085"/>
    <d v="2023-06-11T00:00:00"/>
    <s v="2023"/>
    <x v="6"/>
    <s v="Sunday"/>
    <x v="1"/>
    <x v="3"/>
    <x v="823"/>
    <n v="8"/>
    <x v="1"/>
    <n v="3048.48"/>
    <n v="3198.54"/>
    <x v="0"/>
    <n v="0.03"/>
    <x v="1"/>
    <x v="0"/>
    <x v="16"/>
  </r>
  <r>
    <n v="1078"/>
    <d v="2023-06-12T00:00:00"/>
    <s v="2023"/>
    <x v="6"/>
    <s v="Monday"/>
    <x v="2"/>
    <x v="2"/>
    <x v="824"/>
    <n v="29"/>
    <x v="3"/>
    <n v="3177.81"/>
    <n v="3222.65"/>
    <x v="0"/>
    <n v="0.08"/>
    <x v="2"/>
    <x v="1"/>
    <x v="10"/>
  </r>
  <r>
    <n v="1073"/>
    <d v="2023-11-16T00:00:00"/>
    <s v="2023"/>
    <x v="8"/>
    <s v="Thursday"/>
    <x v="1"/>
    <x v="2"/>
    <x v="825"/>
    <n v="48"/>
    <x v="2"/>
    <n v="2658.9"/>
    <n v="2838.27"/>
    <x v="1"/>
    <n v="0.25"/>
    <x v="2"/>
    <x v="0"/>
    <x v="2"/>
  </r>
  <r>
    <n v="1001"/>
    <d v="2023-10-08T00:00:00"/>
    <s v="2023"/>
    <x v="7"/>
    <s v="Sunday"/>
    <x v="0"/>
    <x v="1"/>
    <x v="826"/>
    <n v="33"/>
    <x v="0"/>
    <n v="2933.54"/>
    <n v="3307.75"/>
    <x v="0"/>
    <n v="0.01"/>
    <x v="1"/>
    <x v="1"/>
    <x v="1"/>
  </r>
  <r>
    <n v="1051"/>
    <d v="2023-10-07T00:00:00"/>
    <s v="2023"/>
    <x v="7"/>
    <s v="Saturday"/>
    <x v="0"/>
    <x v="1"/>
    <x v="827"/>
    <n v="3"/>
    <x v="0"/>
    <n v="3434.75"/>
    <n v="3659.42"/>
    <x v="1"/>
    <n v="0.16"/>
    <x v="0"/>
    <x v="0"/>
    <x v="1"/>
  </r>
  <r>
    <n v="1045"/>
    <d v="2023-01-12T00:00:00"/>
    <s v="2023"/>
    <x v="5"/>
    <s v="Thursday"/>
    <x v="2"/>
    <x v="2"/>
    <x v="828"/>
    <n v="35"/>
    <x v="0"/>
    <n v="3777.94"/>
    <n v="4188.66"/>
    <x v="1"/>
    <n v="0.17"/>
    <x v="1"/>
    <x v="0"/>
    <x v="10"/>
  </r>
  <r>
    <n v="1077"/>
    <d v="2023-10-01T00:00:00"/>
    <s v="2023"/>
    <x v="7"/>
    <s v="Sunday"/>
    <x v="4"/>
    <x v="1"/>
    <x v="829"/>
    <n v="5"/>
    <x v="3"/>
    <n v="3650.89"/>
    <n v="3930.06"/>
    <x v="1"/>
    <n v="0.17"/>
    <x v="1"/>
    <x v="0"/>
    <x v="17"/>
  </r>
  <r>
    <n v="1004"/>
    <d v="2023-09-28T00:00:00"/>
    <s v="2023"/>
    <x v="2"/>
    <s v="Thursday"/>
    <x v="3"/>
    <x v="2"/>
    <x v="830"/>
    <n v="27"/>
    <x v="2"/>
    <n v="4354.6000000000004"/>
    <n v="4820.2"/>
    <x v="1"/>
    <n v="0.14000000000000001"/>
    <x v="2"/>
    <x v="1"/>
    <x v="6"/>
  </r>
  <r>
    <n v="1062"/>
    <d v="2023-07-27T00:00:00"/>
    <s v="2023"/>
    <x v="11"/>
    <s v="Thursday"/>
    <x v="1"/>
    <x v="2"/>
    <x v="831"/>
    <n v="44"/>
    <x v="3"/>
    <n v="987.74"/>
    <n v="1462.19"/>
    <x v="1"/>
    <n v="0.24"/>
    <x v="1"/>
    <x v="0"/>
    <x v="2"/>
  </r>
  <r>
    <n v="1065"/>
    <d v="2023-01-27T00:00:00"/>
    <s v="2023"/>
    <x v="5"/>
    <s v="Friday"/>
    <x v="0"/>
    <x v="2"/>
    <x v="832"/>
    <n v="12"/>
    <x v="3"/>
    <n v="2035.68"/>
    <n v="2079.64"/>
    <x v="0"/>
    <n v="0.04"/>
    <x v="0"/>
    <x v="0"/>
    <x v="3"/>
  </r>
  <r>
    <n v="1032"/>
    <d v="2023-03-13T00:00:00"/>
    <s v="2023"/>
    <x v="4"/>
    <s v="Monday"/>
    <x v="4"/>
    <x v="0"/>
    <x v="833"/>
    <n v="20"/>
    <x v="3"/>
    <n v="4741.59"/>
    <n v="4975.2299999999996"/>
    <x v="1"/>
    <n v="0.09"/>
    <x v="2"/>
    <x v="0"/>
    <x v="15"/>
  </r>
  <r>
    <n v="1034"/>
    <d v="2023-03-01T00:00:00"/>
    <s v="2023"/>
    <x v="4"/>
    <s v="Wednesday"/>
    <x v="2"/>
    <x v="1"/>
    <x v="834"/>
    <n v="45"/>
    <x v="1"/>
    <n v="2013.12"/>
    <n v="2321.87"/>
    <x v="1"/>
    <n v="0.18"/>
    <x v="1"/>
    <x v="1"/>
    <x v="5"/>
  </r>
  <r>
    <n v="1092"/>
    <d v="2023-05-25T00:00:00"/>
    <s v="2023"/>
    <x v="10"/>
    <s v="Thursday"/>
    <x v="0"/>
    <x v="3"/>
    <x v="835"/>
    <n v="20"/>
    <x v="1"/>
    <n v="668.11"/>
    <n v="803.49"/>
    <x v="1"/>
    <n v="0.21"/>
    <x v="1"/>
    <x v="0"/>
    <x v="12"/>
  </r>
  <r>
    <n v="1095"/>
    <d v="2023-04-03T00:00:00"/>
    <s v="2023"/>
    <x v="1"/>
    <s v="Monday"/>
    <x v="2"/>
    <x v="3"/>
    <x v="836"/>
    <n v="9"/>
    <x v="1"/>
    <n v="2650.95"/>
    <n v="2860.4199999999901"/>
    <x v="1"/>
    <n v="0.12"/>
    <x v="0"/>
    <x v="1"/>
    <x v="4"/>
  </r>
  <r>
    <n v="1072"/>
    <d v="2023-11-05T00:00:00"/>
    <s v="2023"/>
    <x v="8"/>
    <s v="Sunday"/>
    <x v="1"/>
    <x v="1"/>
    <x v="837"/>
    <n v="39"/>
    <x v="2"/>
    <n v="591.98"/>
    <n v="934.04"/>
    <x v="1"/>
    <n v="0.26"/>
    <x v="1"/>
    <x v="1"/>
    <x v="13"/>
  </r>
  <r>
    <n v="1039"/>
    <d v="2023-01-08T00:00:00"/>
    <s v="2023"/>
    <x v="5"/>
    <s v="Sunday"/>
    <x v="3"/>
    <x v="2"/>
    <x v="838"/>
    <n v="4"/>
    <x v="3"/>
    <n v="1054.1199999999999"/>
    <n v="1175.21999999999"/>
    <x v="0"/>
    <n v="0.12"/>
    <x v="1"/>
    <x v="1"/>
    <x v="6"/>
  </r>
  <r>
    <n v="1026"/>
    <d v="2023-03-20T00:00:00"/>
    <s v="2023"/>
    <x v="4"/>
    <s v="Monday"/>
    <x v="0"/>
    <x v="3"/>
    <x v="839"/>
    <n v="19"/>
    <x v="3"/>
    <n v="4991.68"/>
    <n v="5296.65"/>
    <x v="1"/>
    <n v="0.12"/>
    <x v="1"/>
    <x v="0"/>
    <x v="12"/>
  </r>
  <r>
    <n v="1034"/>
    <d v="2023-01-27T00:00:00"/>
    <s v="2023"/>
    <x v="5"/>
    <s v="Friday"/>
    <x v="0"/>
    <x v="3"/>
    <x v="840"/>
    <n v="38"/>
    <x v="1"/>
    <n v="2729.75"/>
    <n v="3081.5"/>
    <x v="1"/>
    <n v="0.01"/>
    <x v="1"/>
    <x v="0"/>
    <x v="12"/>
  </r>
  <r>
    <n v="1054"/>
    <d v="2023-06-23T00:00:00"/>
    <s v="2023"/>
    <x v="6"/>
    <s v="Friday"/>
    <x v="1"/>
    <x v="1"/>
    <x v="841"/>
    <n v="27"/>
    <x v="3"/>
    <n v="1456.09"/>
    <n v="1510.4299999999901"/>
    <x v="0"/>
    <n v="0.17"/>
    <x v="0"/>
    <x v="1"/>
    <x v="13"/>
  </r>
  <r>
    <n v="1003"/>
    <d v="2023-02-19T00:00:00"/>
    <s v="2023"/>
    <x v="0"/>
    <s v="Sunday"/>
    <x v="4"/>
    <x v="3"/>
    <x v="842"/>
    <n v="45"/>
    <x v="3"/>
    <n v="4974.1400000000003"/>
    <n v="5227.93"/>
    <x v="1"/>
    <n v="0.21"/>
    <x v="1"/>
    <x v="0"/>
    <x v="18"/>
  </r>
  <r>
    <n v="1050"/>
    <d v="2023-07-18T00:00:00"/>
    <s v="2023"/>
    <x v="11"/>
    <s v="Tuesday"/>
    <x v="3"/>
    <x v="2"/>
    <x v="843"/>
    <n v="43"/>
    <x v="0"/>
    <n v="4834.47"/>
    <n v="4973.38"/>
    <x v="0"/>
    <n v="0.03"/>
    <x v="1"/>
    <x v="0"/>
    <x v="6"/>
  </r>
  <r>
    <n v="1012"/>
    <d v="2023-12-15T00:00:00"/>
    <s v="2023"/>
    <x v="9"/>
    <s v="Friday"/>
    <x v="0"/>
    <x v="1"/>
    <x v="844"/>
    <n v="13"/>
    <x v="3"/>
    <n v="2231.66"/>
    <n v="2596.6099999999901"/>
    <x v="0"/>
    <n v="0.09"/>
    <x v="1"/>
    <x v="1"/>
    <x v="1"/>
  </r>
  <r>
    <n v="1065"/>
    <d v="2023-06-30T00:00:00"/>
    <s v="2023"/>
    <x v="6"/>
    <s v="Friday"/>
    <x v="3"/>
    <x v="2"/>
    <x v="845"/>
    <n v="13"/>
    <x v="0"/>
    <n v="1339"/>
    <n v="1441.88"/>
    <x v="0"/>
    <n v="0.23"/>
    <x v="2"/>
    <x v="1"/>
    <x v="6"/>
  </r>
  <r>
    <n v="1054"/>
    <d v="2023-01-24T00:00:00"/>
    <s v="2023"/>
    <x v="5"/>
    <s v="Tuesday"/>
    <x v="0"/>
    <x v="3"/>
    <x v="846"/>
    <n v="22"/>
    <x v="3"/>
    <n v="4200.08"/>
    <n v="4647.28"/>
    <x v="0"/>
    <n v="0.11"/>
    <x v="0"/>
    <x v="0"/>
    <x v="12"/>
  </r>
  <r>
    <n v="1005"/>
    <d v="2023-11-12T00:00:00"/>
    <s v="2023"/>
    <x v="8"/>
    <s v="Sunday"/>
    <x v="3"/>
    <x v="3"/>
    <x v="847"/>
    <n v="28"/>
    <x v="2"/>
    <n v="3592.32"/>
    <n v="3813.48"/>
    <x v="1"/>
    <n v="7.0000000000000007E-2"/>
    <x v="2"/>
    <x v="1"/>
    <x v="14"/>
  </r>
  <r>
    <n v="1094"/>
    <d v="2023-02-15T00:00:00"/>
    <s v="2023"/>
    <x v="0"/>
    <s v="Wednesday"/>
    <x v="2"/>
    <x v="2"/>
    <x v="848"/>
    <n v="47"/>
    <x v="1"/>
    <n v="3450.36"/>
    <n v="3557.38"/>
    <x v="1"/>
    <n v="0.2"/>
    <x v="2"/>
    <x v="0"/>
    <x v="10"/>
  </r>
  <r>
    <n v="1094"/>
    <d v="2023-01-15T00:00:00"/>
    <s v="2023"/>
    <x v="5"/>
    <s v="Sunday"/>
    <x v="0"/>
    <x v="0"/>
    <x v="849"/>
    <n v="45"/>
    <x v="0"/>
    <n v="4470.91"/>
    <n v="4695.54"/>
    <x v="0"/>
    <n v="0.06"/>
    <x v="0"/>
    <x v="1"/>
    <x v="0"/>
  </r>
  <r>
    <n v="1057"/>
    <d v="2023-06-02T00:00:00"/>
    <s v="2023"/>
    <x v="6"/>
    <s v="Friday"/>
    <x v="3"/>
    <x v="3"/>
    <x v="850"/>
    <n v="22"/>
    <x v="1"/>
    <n v="3462.61"/>
    <n v="3672.89"/>
    <x v="0"/>
    <n v="0.27"/>
    <x v="2"/>
    <x v="0"/>
    <x v="14"/>
  </r>
  <r>
    <n v="1017"/>
    <d v="2023-08-10T00:00:00"/>
    <s v="2023"/>
    <x v="3"/>
    <s v="Thursday"/>
    <x v="4"/>
    <x v="0"/>
    <x v="851"/>
    <n v="43"/>
    <x v="0"/>
    <n v="1454.8"/>
    <n v="1674.97"/>
    <x v="1"/>
    <n v="0.03"/>
    <x v="2"/>
    <x v="0"/>
    <x v="15"/>
  </r>
  <r>
    <n v="1047"/>
    <d v="2023-07-25T00:00:00"/>
    <s v="2023"/>
    <x v="11"/>
    <s v="Tuesday"/>
    <x v="2"/>
    <x v="3"/>
    <x v="852"/>
    <n v="19"/>
    <x v="0"/>
    <n v="3484.62"/>
    <n v="3781.5499999999902"/>
    <x v="0"/>
    <n v="0.21"/>
    <x v="2"/>
    <x v="1"/>
    <x v="4"/>
  </r>
  <r>
    <n v="1023"/>
    <d v="2023-09-30T00:00:00"/>
    <s v="2023"/>
    <x v="2"/>
    <s v="Saturday"/>
    <x v="2"/>
    <x v="0"/>
    <x v="853"/>
    <n v="8"/>
    <x v="0"/>
    <n v="1563.78"/>
    <n v="1829.1599999999901"/>
    <x v="0"/>
    <n v="0.15"/>
    <x v="0"/>
    <x v="0"/>
    <x v="19"/>
  </r>
  <r>
    <n v="1079"/>
    <d v="2023-08-24T00:00:00"/>
    <s v="2023"/>
    <x v="3"/>
    <s v="Thursday"/>
    <x v="4"/>
    <x v="0"/>
    <x v="854"/>
    <n v="8"/>
    <x v="2"/>
    <n v="3808.23"/>
    <n v="3891.62"/>
    <x v="0"/>
    <n v="0.26"/>
    <x v="1"/>
    <x v="0"/>
    <x v="15"/>
  </r>
  <r>
    <n v="1085"/>
    <d v="2023-12-06T00:00:00"/>
    <s v="2023"/>
    <x v="9"/>
    <s v="Wednesday"/>
    <x v="3"/>
    <x v="0"/>
    <x v="855"/>
    <n v="42"/>
    <x v="3"/>
    <n v="3117.75"/>
    <n v="3159.88"/>
    <x v="1"/>
    <n v="0.04"/>
    <x v="0"/>
    <x v="1"/>
    <x v="7"/>
  </r>
  <r>
    <n v="1014"/>
    <d v="2023-08-16T00:00:00"/>
    <s v="2023"/>
    <x v="3"/>
    <s v="Wednesday"/>
    <x v="1"/>
    <x v="2"/>
    <x v="856"/>
    <n v="26"/>
    <x v="0"/>
    <n v="433.19"/>
    <n v="800.6"/>
    <x v="0"/>
    <n v="0.2"/>
    <x v="0"/>
    <x v="0"/>
    <x v="2"/>
  </r>
  <r>
    <n v="1066"/>
    <d v="2023-01-09T00:00:00"/>
    <s v="2023"/>
    <x v="5"/>
    <s v="Monday"/>
    <x v="4"/>
    <x v="0"/>
    <x v="857"/>
    <n v="48"/>
    <x v="2"/>
    <n v="2588.54"/>
    <n v="2872.8"/>
    <x v="1"/>
    <n v="0.17"/>
    <x v="0"/>
    <x v="0"/>
    <x v="15"/>
  </r>
  <r>
    <n v="1075"/>
    <d v="2023-06-15T00:00:00"/>
    <s v="2023"/>
    <x v="6"/>
    <s v="Thursday"/>
    <x v="3"/>
    <x v="0"/>
    <x v="858"/>
    <n v="26"/>
    <x v="0"/>
    <n v="1749.34"/>
    <n v="1935.25"/>
    <x v="1"/>
    <n v="0.14000000000000001"/>
    <x v="2"/>
    <x v="0"/>
    <x v="7"/>
  </r>
  <r>
    <n v="1051"/>
    <d v="2023-11-15T00:00:00"/>
    <s v="2023"/>
    <x v="8"/>
    <s v="Wednesday"/>
    <x v="4"/>
    <x v="0"/>
    <x v="859"/>
    <n v="23"/>
    <x v="3"/>
    <n v="1676.42"/>
    <n v="2082.52"/>
    <x v="1"/>
    <n v="0.15"/>
    <x v="1"/>
    <x v="1"/>
    <x v="15"/>
  </r>
  <r>
    <n v="1038"/>
    <d v="2023-08-02T00:00:00"/>
    <s v="2023"/>
    <x v="3"/>
    <s v="Wednesday"/>
    <x v="4"/>
    <x v="3"/>
    <x v="860"/>
    <n v="43"/>
    <x v="0"/>
    <n v="3031.17"/>
    <n v="3231.32"/>
    <x v="0"/>
    <n v="0.22"/>
    <x v="0"/>
    <x v="1"/>
    <x v="18"/>
  </r>
  <r>
    <n v="1064"/>
    <d v="2023-04-27T00:00:00"/>
    <s v="2023"/>
    <x v="1"/>
    <s v="Thursday"/>
    <x v="0"/>
    <x v="0"/>
    <x v="861"/>
    <n v="13"/>
    <x v="2"/>
    <n v="1645.51"/>
    <n v="2045.53"/>
    <x v="0"/>
    <n v="0.28000000000000003"/>
    <x v="0"/>
    <x v="1"/>
    <x v="0"/>
  </r>
  <r>
    <n v="1098"/>
    <d v="2023-12-10T00:00:00"/>
    <s v="2023"/>
    <x v="9"/>
    <s v="Sunday"/>
    <x v="3"/>
    <x v="3"/>
    <x v="862"/>
    <n v="28"/>
    <x v="3"/>
    <n v="3895.62"/>
    <n v="4055.44"/>
    <x v="1"/>
    <n v="0.03"/>
    <x v="1"/>
    <x v="1"/>
    <x v="14"/>
  </r>
  <r>
    <n v="1038"/>
    <d v="2023-03-13T00:00:00"/>
    <s v="2023"/>
    <x v="4"/>
    <s v="Monday"/>
    <x v="1"/>
    <x v="0"/>
    <x v="863"/>
    <n v="9"/>
    <x v="2"/>
    <n v="400.42"/>
    <n v="446.11"/>
    <x v="1"/>
    <n v="0.01"/>
    <x v="1"/>
    <x v="1"/>
    <x v="11"/>
  </r>
  <r>
    <n v="1050"/>
    <d v="2023-03-05T00:00:00"/>
    <s v="2023"/>
    <x v="4"/>
    <s v="Sunday"/>
    <x v="0"/>
    <x v="0"/>
    <x v="864"/>
    <n v="20"/>
    <x v="3"/>
    <n v="3318.92"/>
    <n v="3785.91"/>
    <x v="1"/>
    <n v="0.24"/>
    <x v="1"/>
    <x v="0"/>
    <x v="0"/>
  </r>
  <r>
    <n v="1098"/>
    <d v="2023-07-24T00:00:00"/>
    <s v="2023"/>
    <x v="11"/>
    <s v="Monday"/>
    <x v="4"/>
    <x v="2"/>
    <x v="865"/>
    <n v="19"/>
    <x v="3"/>
    <n v="4055.51"/>
    <n v="4258.84"/>
    <x v="0"/>
    <n v="0.03"/>
    <x v="2"/>
    <x v="0"/>
    <x v="9"/>
  </r>
  <r>
    <n v="1082"/>
    <d v="2023-07-28T00:00:00"/>
    <s v="2023"/>
    <x v="11"/>
    <s v="Friday"/>
    <x v="4"/>
    <x v="3"/>
    <x v="866"/>
    <n v="48"/>
    <x v="1"/>
    <n v="3380.52"/>
    <n v="3778.94"/>
    <x v="0"/>
    <n v="0.3"/>
    <x v="1"/>
    <x v="0"/>
    <x v="18"/>
  </r>
  <r>
    <n v="1030"/>
    <d v="2023-03-13T00:00:00"/>
    <s v="2023"/>
    <x v="4"/>
    <s v="Monday"/>
    <x v="4"/>
    <x v="0"/>
    <x v="867"/>
    <n v="39"/>
    <x v="1"/>
    <n v="2511.2800000000002"/>
    <n v="2658.06"/>
    <x v="1"/>
    <n v="0.19"/>
    <x v="2"/>
    <x v="1"/>
    <x v="15"/>
  </r>
  <r>
    <n v="1079"/>
    <d v="2023-10-04T00:00:00"/>
    <s v="2023"/>
    <x v="7"/>
    <s v="Wednesday"/>
    <x v="3"/>
    <x v="3"/>
    <x v="868"/>
    <n v="12"/>
    <x v="1"/>
    <n v="4754.0200000000004"/>
    <n v="5080.74"/>
    <x v="1"/>
    <n v="0.2"/>
    <x v="0"/>
    <x v="0"/>
    <x v="14"/>
  </r>
  <r>
    <n v="1091"/>
    <d v="2023-10-01T00:00:00"/>
    <s v="2023"/>
    <x v="7"/>
    <s v="Sunday"/>
    <x v="3"/>
    <x v="3"/>
    <x v="869"/>
    <n v="15"/>
    <x v="3"/>
    <n v="1534.7"/>
    <n v="1972.62"/>
    <x v="0"/>
    <n v="0.06"/>
    <x v="2"/>
    <x v="1"/>
    <x v="14"/>
  </r>
  <r>
    <n v="1051"/>
    <d v="2023-11-16T00:00:00"/>
    <s v="2023"/>
    <x v="8"/>
    <s v="Thursday"/>
    <x v="0"/>
    <x v="1"/>
    <x v="870"/>
    <n v="31"/>
    <x v="0"/>
    <n v="144.88"/>
    <n v="175.29"/>
    <x v="1"/>
    <n v="7.0000000000000007E-2"/>
    <x v="1"/>
    <x v="0"/>
    <x v="1"/>
  </r>
  <r>
    <n v="1063"/>
    <d v="2023-12-04T00:00:00"/>
    <s v="2023"/>
    <x v="9"/>
    <s v="Monday"/>
    <x v="1"/>
    <x v="2"/>
    <x v="871"/>
    <n v="14"/>
    <x v="2"/>
    <n v="2188.35"/>
    <n v="2605.3599999999901"/>
    <x v="0"/>
    <n v="0.2"/>
    <x v="2"/>
    <x v="1"/>
    <x v="2"/>
  </r>
  <r>
    <n v="1098"/>
    <d v="2024-01-01T00:00:00"/>
    <s v="2024"/>
    <x v="5"/>
    <s v="Monday"/>
    <x v="0"/>
    <x v="2"/>
    <x v="872"/>
    <n v="11"/>
    <x v="2"/>
    <n v="213.41"/>
    <n v="503.36"/>
    <x v="0"/>
    <n v="0.27"/>
    <x v="1"/>
    <x v="0"/>
    <x v="3"/>
  </r>
  <r>
    <n v="1052"/>
    <d v="2023-04-05T00:00:00"/>
    <s v="2023"/>
    <x v="1"/>
    <s v="Wednesday"/>
    <x v="2"/>
    <x v="2"/>
    <x v="873"/>
    <n v="26"/>
    <x v="2"/>
    <n v="4771.99"/>
    <n v="5079.6499999999996"/>
    <x v="1"/>
    <n v="0.28999999999999998"/>
    <x v="2"/>
    <x v="0"/>
    <x v="10"/>
  </r>
  <r>
    <n v="1038"/>
    <d v="2023-06-15T00:00:00"/>
    <s v="2023"/>
    <x v="6"/>
    <s v="Thursday"/>
    <x v="4"/>
    <x v="1"/>
    <x v="874"/>
    <n v="42"/>
    <x v="1"/>
    <n v="1089.0899999999999"/>
    <n v="1355.44"/>
    <x v="1"/>
    <n v="0.06"/>
    <x v="0"/>
    <x v="1"/>
    <x v="17"/>
  </r>
  <r>
    <n v="1097"/>
    <d v="2023-02-01T00:00:00"/>
    <s v="2023"/>
    <x v="0"/>
    <s v="Wednesday"/>
    <x v="4"/>
    <x v="1"/>
    <x v="875"/>
    <n v="27"/>
    <x v="3"/>
    <n v="3955.19"/>
    <n v="4393.68"/>
    <x v="0"/>
    <n v="0.04"/>
    <x v="2"/>
    <x v="0"/>
    <x v="17"/>
  </r>
  <r>
    <n v="1088"/>
    <d v="2023-01-11T00:00:00"/>
    <s v="2023"/>
    <x v="5"/>
    <s v="Wednesday"/>
    <x v="4"/>
    <x v="2"/>
    <x v="876"/>
    <n v="11"/>
    <x v="1"/>
    <n v="3884.13"/>
    <n v="3915.41"/>
    <x v="0"/>
    <n v="0.02"/>
    <x v="0"/>
    <x v="0"/>
    <x v="9"/>
  </r>
  <r>
    <n v="1079"/>
    <d v="2023-10-28T00:00:00"/>
    <s v="2023"/>
    <x v="7"/>
    <s v="Saturday"/>
    <x v="0"/>
    <x v="1"/>
    <x v="877"/>
    <n v="38"/>
    <x v="0"/>
    <n v="1127.76"/>
    <n v="1265.6600000000001"/>
    <x v="0"/>
    <n v="0.26"/>
    <x v="1"/>
    <x v="1"/>
    <x v="1"/>
  </r>
  <r>
    <n v="1030"/>
    <d v="2023-08-05T00:00:00"/>
    <s v="2023"/>
    <x v="3"/>
    <s v="Saturday"/>
    <x v="0"/>
    <x v="1"/>
    <x v="878"/>
    <n v="34"/>
    <x v="3"/>
    <n v="3125.07"/>
    <n v="3564.19"/>
    <x v="0"/>
    <n v="0.09"/>
    <x v="0"/>
    <x v="0"/>
    <x v="1"/>
  </r>
  <r>
    <n v="1051"/>
    <d v="2023-10-16T00:00:00"/>
    <s v="2023"/>
    <x v="7"/>
    <s v="Monday"/>
    <x v="4"/>
    <x v="1"/>
    <x v="879"/>
    <n v="43"/>
    <x v="2"/>
    <n v="287.99"/>
    <n v="666.64"/>
    <x v="0"/>
    <n v="0"/>
    <x v="1"/>
    <x v="0"/>
    <x v="17"/>
  </r>
  <r>
    <n v="1081"/>
    <d v="2023-04-12T00:00:00"/>
    <s v="2023"/>
    <x v="1"/>
    <s v="Wednesday"/>
    <x v="0"/>
    <x v="2"/>
    <x v="880"/>
    <n v="19"/>
    <x v="1"/>
    <n v="2443.69"/>
    <n v="2462.34"/>
    <x v="1"/>
    <n v="7.0000000000000007E-2"/>
    <x v="1"/>
    <x v="1"/>
    <x v="3"/>
  </r>
  <r>
    <n v="1005"/>
    <d v="2023-09-24T00:00:00"/>
    <s v="2023"/>
    <x v="2"/>
    <s v="Sunday"/>
    <x v="3"/>
    <x v="2"/>
    <x v="881"/>
    <n v="6"/>
    <x v="1"/>
    <n v="122.5"/>
    <n v="385.83"/>
    <x v="0"/>
    <n v="0.1"/>
    <x v="0"/>
    <x v="1"/>
    <x v="6"/>
  </r>
  <r>
    <n v="1029"/>
    <d v="2023-08-02T00:00:00"/>
    <s v="2023"/>
    <x v="3"/>
    <s v="Wednesday"/>
    <x v="3"/>
    <x v="2"/>
    <x v="882"/>
    <n v="46"/>
    <x v="0"/>
    <n v="4609.66"/>
    <n v="4879.1499999999996"/>
    <x v="0"/>
    <n v="0.3"/>
    <x v="0"/>
    <x v="1"/>
    <x v="6"/>
  </r>
  <r>
    <n v="1004"/>
    <d v="2023-06-28T00:00:00"/>
    <s v="2023"/>
    <x v="6"/>
    <s v="Wednesday"/>
    <x v="0"/>
    <x v="1"/>
    <x v="883"/>
    <n v="38"/>
    <x v="0"/>
    <n v="4881.63"/>
    <n v="5088.0600000000004"/>
    <x v="0"/>
    <n v="0.16"/>
    <x v="2"/>
    <x v="1"/>
    <x v="1"/>
  </r>
  <r>
    <n v="1010"/>
    <d v="2023-03-29T00:00:00"/>
    <s v="2023"/>
    <x v="4"/>
    <s v="Wednesday"/>
    <x v="4"/>
    <x v="2"/>
    <x v="884"/>
    <n v="49"/>
    <x v="1"/>
    <n v="1150.3"/>
    <n v="1306.02"/>
    <x v="1"/>
    <n v="0.06"/>
    <x v="2"/>
    <x v="1"/>
    <x v="9"/>
  </r>
  <r>
    <n v="1056"/>
    <d v="2023-02-10T00:00:00"/>
    <s v="2023"/>
    <x v="0"/>
    <s v="Friday"/>
    <x v="0"/>
    <x v="1"/>
    <x v="885"/>
    <n v="42"/>
    <x v="0"/>
    <n v="1080.1199999999999"/>
    <n v="1424.1699999999901"/>
    <x v="1"/>
    <n v="0.1"/>
    <x v="0"/>
    <x v="0"/>
    <x v="1"/>
  </r>
  <r>
    <n v="1017"/>
    <d v="2023-03-17T00:00:00"/>
    <s v="2023"/>
    <x v="4"/>
    <s v="Friday"/>
    <x v="0"/>
    <x v="0"/>
    <x v="886"/>
    <n v="28"/>
    <x v="2"/>
    <n v="3780.91"/>
    <n v="3892.73"/>
    <x v="0"/>
    <n v="0.1"/>
    <x v="0"/>
    <x v="1"/>
    <x v="0"/>
  </r>
  <r>
    <n v="1074"/>
    <d v="2023-02-15T00:00:00"/>
    <s v="2023"/>
    <x v="0"/>
    <s v="Wednesday"/>
    <x v="0"/>
    <x v="1"/>
    <x v="887"/>
    <n v="1"/>
    <x v="0"/>
    <n v="1304.23"/>
    <n v="1705.71"/>
    <x v="0"/>
    <n v="0.01"/>
    <x v="0"/>
    <x v="1"/>
    <x v="1"/>
  </r>
  <r>
    <n v="1017"/>
    <d v="2023-06-09T00:00:00"/>
    <s v="2023"/>
    <x v="6"/>
    <s v="Friday"/>
    <x v="2"/>
    <x v="3"/>
    <x v="888"/>
    <n v="35"/>
    <x v="0"/>
    <n v="4480.63"/>
    <n v="4884.12"/>
    <x v="1"/>
    <n v="0.04"/>
    <x v="0"/>
    <x v="0"/>
    <x v="4"/>
  </r>
  <r>
    <n v="1084"/>
    <d v="2023-03-21T00:00:00"/>
    <s v="2023"/>
    <x v="4"/>
    <s v="Tuesday"/>
    <x v="3"/>
    <x v="2"/>
    <x v="889"/>
    <n v="40"/>
    <x v="1"/>
    <n v="2890.95"/>
    <n v="3104.43"/>
    <x v="1"/>
    <n v="0.21"/>
    <x v="1"/>
    <x v="0"/>
    <x v="6"/>
  </r>
  <r>
    <n v="1088"/>
    <d v="2023-11-06T00:00:00"/>
    <s v="2023"/>
    <x v="8"/>
    <s v="Monday"/>
    <x v="1"/>
    <x v="2"/>
    <x v="890"/>
    <n v="8"/>
    <x v="1"/>
    <n v="1786.35"/>
    <n v="1935.29"/>
    <x v="1"/>
    <n v="0.04"/>
    <x v="0"/>
    <x v="0"/>
    <x v="2"/>
  </r>
  <r>
    <n v="1069"/>
    <d v="2023-03-27T00:00:00"/>
    <s v="2023"/>
    <x v="4"/>
    <s v="Monday"/>
    <x v="1"/>
    <x v="3"/>
    <x v="891"/>
    <n v="47"/>
    <x v="3"/>
    <n v="4171.83"/>
    <n v="4320.93"/>
    <x v="1"/>
    <n v="7.0000000000000007E-2"/>
    <x v="0"/>
    <x v="0"/>
    <x v="16"/>
  </r>
  <r>
    <n v="1034"/>
    <d v="2023-04-02T00:00:00"/>
    <s v="2023"/>
    <x v="1"/>
    <s v="Sunday"/>
    <x v="2"/>
    <x v="1"/>
    <x v="892"/>
    <n v="7"/>
    <x v="3"/>
    <n v="2492.36"/>
    <n v="2738.68"/>
    <x v="0"/>
    <n v="0.11"/>
    <x v="0"/>
    <x v="0"/>
    <x v="5"/>
  </r>
  <r>
    <n v="1006"/>
    <d v="2023-05-28T00:00:00"/>
    <s v="2023"/>
    <x v="10"/>
    <s v="Sunday"/>
    <x v="0"/>
    <x v="0"/>
    <x v="893"/>
    <n v="11"/>
    <x v="1"/>
    <n v="4562.58"/>
    <n v="4925.17"/>
    <x v="1"/>
    <n v="0.23"/>
    <x v="0"/>
    <x v="1"/>
    <x v="0"/>
  </r>
  <r>
    <n v="1053"/>
    <d v="2023-06-10T00:00:00"/>
    <s v="2023"/>
    <x v="6"/>
    <s v="Saturday"/>
    <x v="2"/>
    <x v="3"/>
    <x v="894"/>
    <n v="39"/>
    <x v="0"/>
    <n v="4643.67"/>
    <n v="4829.5200000000004"/>
    <x v="0"/>
    <n v="0.17"/>
    <x v="1"/>
    <x v="0"/>
    <x v="4"/>
  </r>
  <r>
    <n v="1066"/>
    <d v="2023-07-21T00:00:00"/>
    <s v="2023"/>
    <x v="11"/>
    <s v="Friday"/>
    <x v="2"/>
    <x v="3"/>
    <x v="895"/>
    <n v="4"/>
    <x v="0"/>
    <n v="868.83"/>
    <n v="1177.75"/>
    <x v="0"/>
    <n v="0.21"/>
    <x v="2"/>
    <x v="1"/>
    <x v="4"/>
  </r>
  <r>
    <n v="1077"/>
    <d v="2023-08-30T00:00:00"/>
    <s v="2023"/>
    <x v="3"/>
    <s v="Wednesday"/>
    <x v="4"/>
    <x v="1"/>
    <x v="896"/>
    <n v="25"/>
    <x v="3"/>
    <n v="61.5"/>
    <n v="258.91999999999899"/>
    <x v="1"/>
    <n v="0.17"/>
    <x v="2"/>
    <x v="0"/>
    <x v="17"/>
  </r>
  <r>
    <n v="1043"/>
    <d v="2023-12-19T00:00:00"/>
    <s v="2023"/>
    <x v="9"/>
    <s v="Tuesday"/>
    <x v="3"/>
    <x v="2"/>
    <x v="897"/>
    <n v="12"/>
    <x v="3"/>
    <n v="4920.46"/>
    <n v="5079.68"/>
    <x v="1"/>
    <n v="0.21"/>
    <x v="2"/>
    <x v="1"/>
    <x v="6"/>
  </r>
  <r>
    <n v="1075"/>
    <d v="2023-01-02T00:00:00"/>
    <s v="2023"/>
    <x v="5"/>
    <s v="Monday"/>
    <x v="1"/>
    <x v="1"/>
    <x v="898"/>
    <n v="26"/>
    <x v="3"/>
    <n v="4535.38"/>
    <n v="4557.5600000000004"/>
    <x v="1"/>
    <n v="0"/>
    <x v="2"/>
    <x v="0"/>
    <x v="13"/>
  </r>
  <r>
    <n v="1023"/>
    <d v="2023-08-13T00:00:00"/>
    <s v="2023"/>
    <x v="3"/>
    <s v="Sunday"/>
    <x v="0"/>
    <x v="3"/>
    <x v="899"/>
    <n v="38"/>
    <x v="2"/>
    <n v="324.45"/>
    <n v="336.37"/>
    <x v="1"/>
    <n v="0.28000000000000003"/>
    <x v="2"/>
    <x v="1"/>
    <x v="12"/>
  </r>
  <r>
    <n v="1055"/>
    <d v="2023-10-16T00:00:00"/>
    <s v="2023"/>
    <x v="7"/>
    <s v="Monday"/>
    <x v="1"/>
    <x v="3"/>
    <x v="900"/>
    <n v="46"/>
    <x v="2"/>
    <n v="4173.5200000000004"/>
    <n v="4294.8500000000004"/>
    <x v="0"/>
    <n v="0.03"/>
    <x v="1"/>
    <x v="1"/>
    <x v="16"/>
  </r>
  <r>
    <n v="1080"/>
    <d v="2023-08-21T00:00:00"/>
    <s v="2023"/>
    <x v="3"/>
    <s v="Monday"/>
    <x v="1"/>
    <x v="2"/>
    <x v="901"/>
    <n v="12"/>
    <x v="3"/>
    <n v="2316.13"/>
    <n v="2525.27"/>
    <x v="0"/>
    <n v="0.12"/>
    <x v="2"/>
    <x v="1"/>
    <x v="2"/>
  </r>
  <r>
    <n v="1095"/>
    <d v="2023-03-18T00:00:00"/>
    <s v="2023"/>
    <x v="4"/>
    <s v="Saturday"/>
    <x v="3"/>
    <x v="2"/>
    <x v="902"/>
    <n v="43"/>
    <x v="0"/>
    <n v="1331.86"/>
    <n v="1758.98"/>
    <x v="0"/>
    <n v="0.23"/>
    <x v="1"/>
    <x v="1"/>
    <x v="6"/>
  </r>
  <r>
    <n v="1075"/>
    <d v="2023-04-26T00:00:00"/>
    <s v="2023"/>
    <x v="1"/>
    <s v="Wednesday"/>
    <x v="1"/>
    <x v="2"/>
    <x v="903"/>
    <n v="37"/>
    <x v="3"/>
    <n v="4399.8"/>
    <n v="4801.0600000000004"/>
    <x v="1"/>
    <n v="0.13"/>
    <x v="1"/>
    <x v="1"/>
    <x v="2"/>
  </r>
  <r>
    <n v="1016"/>
    <d v="2023-06-03T00:00:00"/>
    <s v="2023"/>
    <x v="6"/>
    <s v="Saturday"/>
    <x v="1"/>
    <x v="1"/>
    <x v="904"/>
    <n v="46"/>
    <x v="2"/>
    <n v="1023.5"/>
    <n v="1164.4100000000001"/>
    <x v="0"/>
    <n v="0.28000000000000003"/>
    <x v="2"/>
    <x v="1"/>
    <x v="13"/>
  </r>
  <r>
    <n v="1008"/>
    <d v="2023-04-13T00:00:00"/>
    <s v="2023"/>
    <x v="1"/>
    <s v="Thursday"/>
    <x v="2"/>
    <x v="2"/>
    <x v="905"/>
    <n v="24"/>
    <x v="0"/>
    <n v="4739.13"/>
    <n v="4868.95"/>
    <x v="1"/>
    <n v="0.14000000000000001"/>
    <x v="2"/>
    <x v="1"/>
    <x v="10"/>
  </r>
  <r>
    <n v="1004"/>
    <d v="2023-07-13T00:00:00"/>
    <s v="2023"/>
    <x v="11"/>
    <s v="Thursday"/>
    <x v="3"/>
    <x v="3"/>
    <x v="906"/>
    <n v="16"/>
    <x v="2"/>
    <n v="1067.83"/>
    <n v="1189.22"/>
    <x v="0"/>
    <n v="0.26"/>
    <x v="2"/>
    <x v="1"/>
    <x v="14"/>
  </r>
  <r>
    <n v="1004"/>
    <d v="2023-06-15T00:00:00"/>
    <s v="2023"/>
    <x v="6"/>
    <s v="Thursday"/>
    <x v="4"/>
    <x v="3"/>
    <x v="907"/>
    <n v="13"/>
    <x v="0"/>
    <n v="3087.73"/>
    <n v="3263.96"/>
    <x v="1"/>
    <n v="0.24"/>
    <x v="0"/>
    <x v="1"/>
    <x v="18"/>
  </r>
  <r>
    <n v="1056"/>
    <d v="2023-12-25T00:00:00"/>
    <s v="2023"/>
    <x v="9"/>
    <s v="Monday"/>
    <x v="0"/>
    <x v="0"/>
    <x v="908"/>
    <n v="25"/>
    <x v="2"/>
    <n v="1154.28"/>
    <n v="1408.4"/>
    <x v="0"/>
    <n v="0.28999999999999998"/>
    <x v="1"/>
    <x v="1"/>
    <x v="0"/>
  </r>
  <r>
    <n v="1025"/>
    <d v="2023-03-31T00:00:00"/>
    <s v="2023"/>
    <x v="4"/>
    <s v="Friday"/>
    <x v="1"/>
    <x v="1"/>
    <x v="909"/>
    <n v="4"/>
    <x v="0"/>
    <n v="2751.06"/>
    <n v="2976.0099999999902"/>
    <x v="0"/>
    <n v="0.28000000000000003"/>
    <x v="2"/>
    <x v="0"/>
    <x v="13"/>
  </r>
  <r>
    <n v="1067"/>
    <d v="2023-06-23T00:00:00"/>
    <s v="2023"/>
    <x v="6"/>
    <s v="Friday"/>
    <x v="0"/>
    <x v="0"/>
    <x v="910"/>
    <n v="11"/>
    <x v="0"/>
    <n v="3435.68"/>
    <n v="3552.6299999999901"/>
    <x v="1"/>
    <n v="0.27"/>
    <x v="0"/>
    <x v="1"/>
    <x v="0"/>
  </r>
  <r>
    <n v="1096"/>
    <d v="2023-05-02T00:00:00"/>
    <s v="2023"/>
    <x v="10"/>
    <s v="Tuesday"/>
    <x v="4"/>
    <x v="3"/>
    <x v="911"/>
    <n v="32"/>
    <x v="0"/>
    <n v="991.63"/>
    <n v="1065.55"/>
    <x v="0"/>
    <n v="0.22"/>
    <x v="1"/>
    <x v="1"/>
    <x v="18"/>
  </r>
  <r>
    <n v="1067"/>
    <d v="2023-05-23T00:00:00"/>
    <s v="2023"/>
    <x v="10"/>
    <s v="Tuesday"/>
    <x v="0"/>
    <x v="0"/>
    <x v="912"/>
    <n v="49"/>
    <x v="0"/>
    <n v="2628.38"/>
    <n v="2644.54"/>
    <x v="0"/>
    <n v="0.11"/>
    <x v="0"/>
    <x v="0"/>
    <x v="0"/>
  </r>
  <r>
    <n v="1027"/>
    <d v="2023-04-16T00:00:00"/>
    <s v="2023"/>
    <x v="1"/>
    <s v="Sunday"/>
    <x v="4"/>
    <x v="3"/>
    <x v="913"/>
    <n v="7"/>
    <x v="1"/>
    <n v="2371.85"/>
    <n v="2457.29"/>
    <x v="1"/>
    <n v="0.03"/>
    <x v="0"/>
    <x v="1"/>
    <x v="18"/>
  </r>
  <r>
    <n v="1093"/>
    <d v="2023-11-01T00:00:00"/>
    <s v="2023"/>
    <x v="8"/>
    <s v="Wednesday"/>
    <x v="2"/>
    <x v="0"/>
    <x v="914"/>
    <n v="46"/>
    <x v="2"/>
    <n v="401.64"/>
    <n v="757.26"/>
    <x v="1"/>
    <n v="0.21"/>
    <x v="2"/>
    <x v="1"/>
    <x v="19"/>
  </r>
  <r>
    <n v="1032"/>
    <d v="2023-12-26T00:00:00"/>
    <s v="2023"/>
    <x v="9"/>
    <s v="Tuesday"/>
    <x v="1"/>
    <x v="2"/>
    <x v="915"/>
    <n v="11"/>
    <x v="2"/>
    <n v="4100.62"/>
    <n v="4230"/>
    <x v="1"/>
    <n v="0.28999999999999998"/>
    <x v="1"/>
    <x v="0"/>
    <x v="2"/>
  </r>
  <r>
    <n v="1050"/>
    <d v="2023-11-13T00:00:00"/>
    <s v="2023"/>
    <x v="8"/>
    <s v="Monday"/>
    <x v="4"/>
    <x v="0"/>
    <x v="916"/>
    <n v="28"/>
    <x v="1"/>
    <n v="1711.63"/>
    <n v="1951.24"/>
    <x v="1"/>
    <n v="0.22"/>
    <x v="0"/>
    <x v="0"/>
    <x v="15"/>
  </r>
  <r>
    <n v="1061"/>
    <d v="2023-05-03T00:00:00"/>
    <s v="2023"/>
    <x v="10"/>
    <s v="Wednesday"/>
    <x v="0"/>
    <x v="2"/>
    <x v="917"/>
    <n v="41"/>
    <x v="0"/>
    <n v="2894.18"/>
    <n v="3193.92"/>
    <x v="1"/>
    <n v="0.28000000000000003"/>
    <x v="1"/>
    <x v="1"/>
    <x v="3"/>
  </r>
  <r>
    <n v="1051"/>
    <d v="2023-01-09T00:00:00"/>
    <s v="2023"/>
    <x v="5"/>
    <s v="Monday"/>
    <x v="1"/>
    <x v="2"/>
    <x v="918"/>
    <n v="23"/>
    <x v="0"/>
    <n v="2598.1799999999998"/>
    <n v="3042.73"/>
    <x v="0"/>
    <n v="0.24"/>
    <x v="2"/>
    <x v="0"/>
    <x v="2"/>
  </r>
  <r>
    <n v="1019"/>
    <d v="2023-09-19T00:00:00"/>
    <s v="2023"/>
    <x v="2"/>
    <s v="Tuesday"/>
    <x v="2"/>
    <x v="1"/>
    <x v="919"/>
    <n v="45"/>
    <x v="2"/>
    <n v="2590.64"/>
    <n v="3036.18"/>
    <x v="1"/>
    <n v="0.05"/>
    <x v="1"/>
    <x v="1"/>
    <x v="5"/>
  </r>
  <r>
    <n v="1021"/>
    <d v="2023-03-14T00:00:00"/>
    <s v="2023"/>
    <x v="4"/>
    <s v="Tuesday"/>
    <x v="1"/>
    <x v="2"/>
    <x v="920"/>
    <n v="23"/>
    <x v="1"/>
    <n v="580.75"/>
    <n v="956.16"/>
    <x v="0"/>
    <n v="7.0000000000000007E-2"/>
    <x v="0"/>
    <x v="1"/>
    <x v="2"/>
  </r>
  <r>
    <n v="1005"/>
    <d v="2023-12-25T00:00:00"/>
    <s v="2023"/>
    <x v="9"/>
    <s v="Monday"/>
    <x v="4"/>
    <x v="2"/>
    <x v="921"/>
    <n v="28"/>
    <x v="0"/>
    <n v="2146.2399999999998"/>
    <n v="2173.4699999999998"/>
    <x v="0"/>
    <n v="0.1"/>
    <x v="0"/>
    <x v="1"/>
    <x v="9"/>
  </r>
  <r>
    <n v="1082"/>
    <d v="2023-08-11T00:00:00"/>
    <s v="2023"/>
    <x v="3"/>
    <s v="Friday"/>
    <x v="2"/>
    <x v="0"/>
    <x v="922"/>
    <n v="43"/>
    <x v="0"/>
    <n v="2289.2199999999998"/>
    <n v="2581"/>
    <x v="1"/>
    <n v="0.05"/>
    <x v="1"/>
    <x v="0"/>
    <x v="19"/>
  </r>
  <r>
    <n v="1092"/>
    <d v="2023-02-10T00:00:00"/>
    <s v="2023"/>
    <x v="0"/>
    <s v="Friday"/>
    <x v="0"/>
    <x v="3"/>
    <x v="923"/>
    <n v="47"/>
    <x v="0"/>
    <n v="3681.53"/>
    <n v="4076.96"/>
    <x v="0"/>
    <n v="0.17"/>
    <x v="0"/>
    <x v="1"/>
    <x v="12"/>
  </r>
  <r>
    <n v="1042"/>
    <d v="2023-07-23T00:00:00"/>
    <s v="2023"/>
    <x v="11"/>
    <s v="Sunday"/>
    <x v="2"/>
    <x v="1"/>
    <x v="924"/>
    <n v="26"/>
    <x v="3"/>
    <n v="4208.09"/>
    <n v="4226.5600000000004"/>
    <x v="0"/>
    <n v="0.28999999999999998"/>
    <x v="0"/>
    <x v="1"/>
    <x v="5"/>
  </r>
  <r>
    <n v="1061"/>
    <d v="2023-09-21T00:00:00"/>
    <s v="2023"/>
    <x v="2"/>
    <s v="Thursday"/>
    <x v="2"/>
    <x v="2"/>
    <x v="925"/>
    <n v="25"/>
    <x v="1"/>
    <n v="2747.66"/>
    <n v="3027.0099999999902"/>
    <x v="1"/>
    <n v="0.23"/>
    <x v="0"/>
    <x v="0"/>
    <x v="10"/>
  </r>
  <r>
    <n v="1022"/>
    <d v="2023-11-24T00:00:00"/>
    <s v="2023"/>
    <x v="8"/>
    <s v="Friday"/>
    <x v="3"/>
    <x v="1"/>
    <x v="926"/>
    <n v="29"/>
    <x v="0"/>
    <n v="479.58"/>
    <n v="909.88"/>
    <x v="0"/>
    <n v="0.13"/>
    <x v="2"/>
    <x v="1"/>
    <x v="8"/>
  </r>
  <r>
    <n v="1021"/>
    <d v="2023-06-27T00:00:00"/>
    <s v="2023"/>
    <x v="6"/>
    <s v="Tuesday"/>
    <x v="2"/>
    <x v="0"/>
    <x v="927"/>
    <n v="19"/>
    <x v="3"/>
    <n v="1222.4000000000001"/>
    <n v="1464.71"/>
    <x v="1"/>
    <n v="0"/>
    <x v="2"/>
    <x v="1"/>
    <x v="19"/>
  </r>
  <r>
    <n v="1070"/>
    <d v="2023-12-14T00:00:00"/>
    <s v="2023"/>
    <x v="9"/>
    <s v="Thursday"/>
    <x v="2"/>
    <x v="2"/>
    <x v="928"/>
    <n v="33"/>
    <x v="1"/>
    <n v="866.42"/>
    <n v="878.43"/>
    <x v="1"/>
    <n v="0.09"/>
    <x v="0"/>
    <x v="1"/>
    <x v="10"/>
  </r>
  <r>
    <n v="1001"/>
    <d v="2023-11-14T00:00:00"/>
    <s v="2023"/>
    <x v="8"/>
    <s v="Tuesday"/>
    <x v="1"/>
    <x v="0"/>
    <x v="929"/>
    <n v="36"/>
    <x v="0"/>
    <n v="666.84"/>
    <n v="682.24"/>
    <x v="1"/>
    <n v="0.16"/>
    <x v="1"/>
    <x v="1"/>
    <x v="11"/>
  </r>
  <r>
    <n v="1005"/>
    <d v="2023-03-25T00:00:00"/>
    <s v="2023"/>
    <x v="4"/>
    <s v="Saturday"/>
    <x v="0"/>
    <x v="1"/>
    <x v="930"/>
    <n v="14"/>
    <x v="2"/>
    <n v="1861.2"/>
    <n v="2075.35"/>
    <x v="0"/>
    <n v="0.1"/>
    <x v="2"/>
    <x v="1"/>
    <x v="1"/>
  </r>
  <r>
    <n v="1012"/>
    <d v="2023-11-14T00:00:00"/>
    <s v="2023"/>
    <x v="8"/>
    <s v="Tuesday"/>
    <x v="1"/>
    <x v="0"/>
    <x v="931"/>
    <n v="14"/>
    <x v="3"/>
    <n v="1185.5"/>
    <n v="1271.45"/>
    <x v="0"/>
    <n v="0.03"/>
    <x v="1"/>
    <x v="1"/>
    <x v="11"/>
  </r>
  <r>
    <n v="1090"/>
    <d v="2023-04-21T00:00:00"/>
    <s v="2023"/>
    <x v="1"/>
    <s v="Friday"/>
    <x v="1"/>
    <x v="1"/>
    <x v="932"/>
    <n v="35"/>
    <x v="3"/>
    <n v="1130.5999999999999"/>
    <n v="1466.1799999999901"/>
    <x v="0"/>
    <n v="0.13"/>
    <x v="0"/>
    <x v="0"/>
    <x v="13"/>
  </r>
  <r>
    <n v="1046"/>
    <d v="2023-09-08T00:00:00"/>
    <s v="2023"/>
    <x v="2"/>
    <s v="Friday"/>
    <x v="4"/>
    <x v="0"/>
    <x v="933"/>
    <n v="30"/>
    <x v="0"/>
    <n v="320.73"/>
    <n v="678.04"/>
    <x v="0"/>
    <n v="0.08"/>
    <x v="0"/>
    <x v="1"/>
    <x v="15"/>
  </r>
  <r>
    <n v="1034"/>
    <d v="2023-01-07T00:00:00"/>
    <s v="2023"/>
    <x v="5"/>
    <s v="Saturday"/>
    <x v="1"/>
    <x v="1"/>
    <x v="934"/>
    <n v="28"/>
    <x v="0"/>
    <n v="137.47"/>
    <n v="234.63"/>
    <x v="1"/>
    <n v="0.27"/>
    <x v="1"/>
    <x v="1"/>
    <x v="13"/>
  </r>
  <r>
    <n v="1049"/>
    <d v="2023-03-25T00:00:00"/>
    <s v="2023"/>
    <x v="4"/>
    <s v="Saturday"/>
    <x v="3"/>
    <x v="3"/>
    <x v="935"/>
    <n v="17"/>
    <x v="3"/>
    <n v="558.70000000000005"/>
    <n v="1004.08"/>
    <x v="0"/>
    <n v="0.03"/>
    <x v="2"/>
    <x v="0"/>
    <x v="14"/>
  </r>
  <r>
    <n v="1078"/>
    <d v="2023-07-27T00:00:00"/>
    <s v="2023"/>
    <x v="11"/>
    <s v="Thursday"/>
    <x v="3"/>
    <x v="0"/>
    <x v="936"/>
    <n v="3"/>
    <x v="2"/>
    <n v="902.38"/>
    <n v="1128.9100000000001"/>
    <x v="1"/>
    <n v="0.01"/>
    <x v="1"/>
    <x v="1"/>
    <x v="7"/>
  </r>
  <r>
    <n v="1090"/>
    <d v="2023-11-10T00:00:00"/>
    <s v="2023"/>
    <x v="8"/>
    <s v="Friday"/>
    <x v="4"/>
    <x v="0"/>
    <x v="937"/>
    <n v="16"/>
    <x v="2"/>
    <n v="2183.37"/>
    <n v="2263.3599999999901"/>
    <x v="0"/>
    <n v="0"/>
    <x v="1"/>
    <x v="1"/>
    <x v="15"/>
  </r>
  <r>
    <n v="1045"/>
    <d v="2023-01-22T00:00:00"/>
    <s v="2023"/>
    <x v="5"/>
    <s v="Sunday"/>
    <x v="0"/>
    <x v="3"/>
    <x v="938"/>
    <n v="46"/>
    <x v="1"/>
    <n v="2577.08"/>
    <n v="2961.56"/>
    <x v="0"/>
    <n v="0.1"/>
    <x v="0"/>
    <x v="0"/>
    <x v="12"/>
  </r>
  <r>
    <n v="1027"/>
    <d v="2023-01-03T00:00:00"/>
    <s v="2023"/>
    <x v="5"/>
    <s v="Tuesday"/>
    <x v="0"/>
    <x v="3"/>
    <x v="939"/>
    <n v="30"/>
    <x v="0"/>
    <n v="745.93"/>
    <n v="1143.02"/>
    <x v="0"/>
    <n v="0.2"/>
    <x v="2"/>
    <x v="0"/>
    <x v="12"/>
  </r>
  <r>
    <n v="1073"/>
    <d v="2023-05-07T00:00:00"/>
    <s v="2023"/>
    <x v="10"/>
    <s v="Sunday"/>
    <x v="1"/>
    <x v="0"/>
    <x v="940"/>
    <n v="29"/>
    <x v="2"/>
    <n v="2152.6799999999998"/>
    <n v="2475.9299999999998"/>
    <x v="0"/>
    <n v="0.22"/>
    <x v="1"/>
    <x v="0"/>
    <x v="11"/>
  </r>
  <r>
    <n v="1026"/>
    <d v="2023-10-24T00:00:00"/>
    <s v="2023"/>
    <x v="7"/>
    <s v="Tuesday"/>
    <x v="1"/>
    <x v="3"/>
    <x v="941"/>
    <n v="45"/>
    <x v="1"/>
    <n v="1741.66"/>
    <n v="2169.86"/>
    <x v="0"/>
    <n v="0.14000000000000001"/>
    <x v="2"/>
    <x v="0"/>
    <x v="16"/>
  </r>
  <r>
    <n v="1047"/>
    <d v="2023-07-07T00:00:00"/>
    <s v="2023"/>
    <x v="11"/>
    <s v="Friday"/>
    <x v="1"/>
    <x v="2"/>
    <x v="942"/>
    <n v="15"/>
    <x v="2"/>
    <n v="957.95"/>
    <n v="1329.26"/>
    <x v="1"/>
    <n v="0.21"/>
    <x v="0"/>
    <x v="0"/>
    <x v="2"/>
  </r>
  <r>
    <n v="1086"/>
    <d v="2023-12-28T00:00:00"/>
    <s v="2023"/>
    <x v="9"/>
    <s v="Thursday"/>
    <x v="0"/>
    <x v="1"/>
    <x v="943"/>
    <n v="46"/>
    <x v="0"/>
    <n v="83.86"/>
    <n v="526.14"/>
    <x v="0"/>
    <n v="0.11"/>
    <x v="2"/>
    <x v="0"/>
    <x v="1"/>
  </r>
  <r>
    <n v="1056"/>
    <d v="2023-01-14T00:00:00"/>
    <s v="2023"/>
    <x v="5"/>
    <s v="Saturday"/>
    <x v="2"/>
    <x v="1"/>
    <x v="944"/>
    <n v="25"/>
    <x v="1"/>
    <n v="2361.7399999999998"/>
    <n v="2584.35"/>
    <x v="0"/>
    <n v="0.2"/>
    <x v="0"/>
    <x v="0"/>
    <x v="5"/>
  </r>
  <r>
    <n v="1094"/>
    <d v="2023-01-12T00:00:00"/>
    <s v="2023"/>
    <x v="5"/>
    <s v="Thursday"/>
    <x v="3"/>
    <x v="1"/>
    <x v="945"/>
    <n v="38"/>
    <x v="1"/>
    <n v="3443.98"/>
    <n v="3820.3"/>
    <x v="0"/>
    <n v="0.01"/>
    <x v="2"/>
    <x v="1"/>
    <x v="8"/>
  </r>
  <r>
    <n v="1063"/>
    <d v="2023-03-28T00:00:00"/>
    <s v="2023"/>
    <x v="4"/>
    <s v="Tuesday"/>
    <x v="2"/>
    <x v="2"/>
    <x v="946"/>
    <n v="42"/>
    <x v="1"/>
    <n v="1170.07"/>
    <n v="1669.94999999999"/>
    <x v="0"/>
    <n v="0.12"/>
    <x v="1"/>
    <x v="1"/>
    <x v="10"/>
  </r>
  <r>
    <n v="1048"/>
    <d v="2023-01-12T00:00:00"/>
    <s v="2023"/>
    <x v="5"/>
    <s v="Thursday"/>
    <x v="2"/>
    <x v="3"/>
    <x v="947"/>
    <n v="47"/>
    <x v="2"/>
    <n v="702.44"/>
    <n v="1067.6600000000001"/>
    <x v="1"/>
    <n v="0.24"/>
    <x v="0"/>
    <x v="1"/>
    <x v="4"/>
  </r>
  <r>
    <n v="1061"/>
    <d v="2023-01-25T00:00:00"/>
    <s v="2023"/>
    <x v="5"/>
    <s v="Wednesday"/>
    <x v="0"/>
    <x v="3"/>
    <x v="948"/>
    <n v="38"/>
    <x v="0"/>
    <n v="4440.8599999999997"/>
    <n v="4506.8099999999904"/>
    <x v="0"/>
    <n v="0.24"/>
    <x v="1"/>
    <x v="0"/>
    <x v="12"/>
  </r>
  <r>
    <n v="1081"/>
    <d v="2023-10-28T00:00:00"/>
    <s v="2023"/>
    <x v="7"/>
    <s v="Saturday"/>
    <x v="2"/>
    <x v="0"/>
    <x v="949"/>
    <n v="23"/>
    <x v="1"/>
    <n v="1411.37"/>
    <n v="1675.35"/>
    <x v="1"/>
    <n v="0.21"/>
    <x v="0"/>
    <x v="1"/>
    <x v="19"/>
  </r>
  <r>
    <n v="1026"/>
    <d v="2023-08-31T00:00:00"/>
    <s v="2023"/>
    <x v="3"/>
    <s v="Thursday"/>
    <x v="4"/>
    <x v="3"/>
    <x v="950"/>
    <n v="25"/>
    <x v="3"/>
    <n v="1156.8800000000001"/>
    <n v="1454.68"/>
    <x v="0"/>
    <n v="0.06"/>
    <x v="2"/>
    <x v="0"/>
    <x v="18"/>
  </r>
  <r>
    <n v="1036"/>
    <d v="2023-05-02T00:00:00"/>
    <s v="2023"/>
    <x v="10"/>
    <s v="Tuesday"/>
    <x v="1"/>
    <x v="0"/>
    <x v="951"/>
    <n v="42"/>
    <x v="0"/>
    <n v="4292.63"/>
    <n v="4387.99"/>
    <x v="1"/>
    <n v="7.0000000000000007E-2"/>
    <x v="2"/>
    <x v="1"/>
    <x v="11"/>
  </r>
  <r>
    <n v="1001"/>
    <d v="2023-05-27T00:00:00"/>
    <s v="2023"/>
    <x v="10"/>
    <s v="Saturday"/>
    <x v="4"/>
    <x v="2"/>
    <x v="952"/>
    <n v="7"/>
    <x v="3"/>
    <n v="4094.68"/>
    <n v="4576.5"/>
    <x v="1"/>
    <n v="0.3"/>
    <x v="0"/>
    <x v="1"/>
    <x v="9"/>
  </r>
  <r>
    <n v="1008"/>
    <d v="2023-02-24T00:00:00"/>
    <s v="2023"/>
    <x v="0"/>
    <s v="Friday"/>
    <x v="3"/>
    <x v="1"/>
    <x v="953"/>
    <n v="22"/>
    <x v="3"/>
    <n v="2269.3200000000002"/>
    <n v="2365.35"/>
    <x v="1"/>
    <n v="0.03"/>
    <x v="0"/>
    <x v="1"/>
    <x v="8"/>
  </r>
  <r>
    <n v="1099"/>
    <d v="2023-08-26T00:00:00"/>
    <s v="2023"/>
    <x v="3"/>
    <s v="Saturday"/>
    <x v="1"/>
    <x v="1"/>
    <x v="954"/>
    <n v="17"/>
    <x v="1"/>
    <n v="2471.73"/>
    <n v="2568.73"/>
    <x v="1"/>
    <n v="0.05"/>
    <x v="0"/>
    <x v="1"/>
    <x v="13"/>
  </r>
  <r>
    <n v="1052"/>
    <d v="2023-12-22T00:00:00"/>
    <s v="2023"/>
    <x v="9"/>
    <s v="Friday"/>
    <x v="2"/>
    <x v="1"/>
    <x v="955"/>
    <n v="18"/>
    <x v="1"/>
    <n v="1127.8599999999999"/>
    <n v="1586.29"/>
    <x v="1"/>
    <n v="0.04"/>
    <x v="2"/>
    <x v="0"/>
    <x v="5"/>
  </r>
  <r>
    <n v="1079"/>
    <d v="2023-06-22T00:00:00"/>
    <s v="2023"/>
    <x v="6"/>
    <s v="Thursday"/>
    <x v="3"/>
    <x v="3"/>
    <x v="956"/>
    <n v="49"/>
    <x v="2"/>
    <n v="437.59"/>
    <n v="675.54"/>
    <x v="0"/>
    <n v="0.1"/>
    <x v="0"/>
    <x v="0"/>
    <x v="14"/>
  </r>
  <r>
    <n v="1047"/>
    <d v="2023-08-09T00:00:00"/>
    <s v="2023"/>
    <x v="3"/>
    <s v="Wednesday"/>
    <x v="1"/>
    <x v="0"/>
    <x v="957"/>
    <n v="41"/>
    <x v="2"/>
    <n v="2888.49"/>
    <n v="2929.45"/>
    <x v="1"/>
    <n v="0.06"/>
    <x v="0"/>
    <x v="1"/>
    <x v="11"/>
  </r>
  <r>
    <n v="1056"/>
    <d v="2023-04-29T00:00:00"/>
    <s v="2023"/>
    <x v="1"/>
    <s v="Saturday"/>
    <x v="2"/>
    <x v="0"/>
    <x v="958"/>
    <n v="10"/>
    <x v="2"/>
    <n v="536.80999999999995"/>
    <n v="839.92"/>
    <x v="0"/>
    <n v="0.15"/>
    <x v="1"/>
    <x v="0"/>
    <x v="19"/>
  </r>
  <r>
    <n v="1086"/>
    <d v="2023-11-05T00:00:00"/>
    <s v="2023"/>
    <x v="8"/>
    <s v="Sunday"/>
    <x v="4"/>
    <x v="2"/>
    <x v="959"/>
    <n v="10"/>
    <x v="0"/>
    <n v="2273.91"/>
    <n v="2578.7999999999902"/>
    <x v="1"/>
    <n v="0.14000000000000001"/>
    <x v="0"/>
    <x v="0"/>
    <x v="9"/>
  </r>
  <r>
    <n v="1014"/>
    <d v="2023-07-02T00:00:00"/>
    <s v="2023"/>
    <x v="11"/>
    <s v="Sunday"/>
    <x v="1"/>
    <x v="3"/>
    <x v="960"/>
    <n v="7"/>
    <x v="2"/>
    <n v="4705.46"/>
    <n v="4747.07"/>
    <x v="1"/>
    <n v="0.27"/>
    <x v="1"/>
    <x v="1"/>
    <x v="16"/>
  </r>
  <r>
    <n v="1090"/>
    <d v="2023-10-15T00:00:00"/>
    <s v="2023"/>
    <x v="7"/>
    <s v="Sunday"/>
    <x v="2"/>
    <x v="2"/>
    <x v="961"/>
    <n v="48"/>
    <x v="3"/>
    <n v="4766.53"/>
    <n v="5253.07"/>
    <x v="0"/>
    <n v="0.01"/>
    <x v="1"/>
    <x v="0"/>
    <x v="10"/>
  </r>
  <r>
    <n v="1028"/>
    <d v="2023-11-03T00:00:00"/>
    <s v="2023"/>
    <x v="8"/>
    <s v="Friday"/>
    <x v="4"/>
    <x v="0"/>
    <x v="962"/>
    <n v="38"/>
    <x v="2"/>
    <n v="1234.69"/>
    <n v="1511.26"/>
    <x v="1"/>
    <n v="0.1"/>
    <x v="1"/>
    <x v="0"/>
    <x v="15"/>
  </r>
  <r>
    <n v="1087"/>
    <d v="2023-10-27T00:00:00"/>
    <s v="2023"/>
    <x v="7"/>
    <s v="Friday"/>
    <x v="3"/>
    <x v="0"/>
    <x v="963"/>
    <n v="27"/>
    <x v="1"/>
    <n v="3139.36"/>
    <n v="3423.66"/>
    <x v="1"/>
    <n v="0.18"/>
    <x v="2"/>
    <x v="0"/>
    <x v="7"/>
  </r>
  <r>
    <n v="1078"/>
    <d v="2023-03-23T00:00:00"/>
    <s v="2023"/>
    <x v="4"/>
    <s v="Thursday"/>
    <x v="3"/>
    <x v="1"/>
    <x v="964"/>
    <n v="33"/>
    <x v="2"/>
    <n v="2396.6799999999998"/>
    <n v="2661.54"/>
    <x v="1"/>
    <n v="0.18"/>
    <x v="1"/>
    <x v="0"/>
    <x v="8"/>
  </r>
  <r>
    <n v="1088"/>
    <d v="2023-07-30T00:00:00"/>
    <s v="2023"/>
    <x v="11"/>
    <s v="Sunday"/>
    <x v="3"/>
    <x v="3"/>
    <x v="965"/>
    <n v="1"/>
    <x v="0"/>
    <n v="4384.6400000000003"/>
    <n v="4693.8999999999996"/>
    <x v="1"/>
    <n v="0.14000000000000001"/>
    <x v="0"/>
    <x v="1"/>
    <x v="14"/>
  </r>
  <r>
    <n v="1002"/>
    <d v="2023-05-30T00:00:00"/>
    <s v="2023"/>
    <x v="10"/>
    <s v="Tuesday"/>
    <x v="3"/>
    <x v="0"/>
    <x v="966"/>
    <n v="44"/>
    <x v="0"/>
    <n v="1393.58"/>
    <n v="1533.09"/>
    <x v="0"/>
    <n v="0.24"/>
    <x v="2"/>
    <x v="1"/>
    <x v="7"/>
  </r>
  <r>
    <n v="1026"/>
    <d v="2023-02-06T00:00:00"/>
    <s v="2023"/>
    <x v="0"/>
    <s v="Monday"/>
    <x v="0"/>
    <x v="1"/>
    <x v="967"/>
    <n v="34"/>
    <x v="3"/>
    <n v="68.33"/>
    <n v="219.07999999999899"/>
    <x v="1"/>
    <n v="0.02"/>
    <x v="2"/>
    <x v="0"/>
    <x v="1"/>
  </r>
  <r>
    <n v="1014"/>
    <d v="2023-12-18T00:00:00"/>
    <s v="2023"/>
    <x v="9"/>
    <s v="Monday"/>
    <x v="1"/>
    <x v="3"/>
    <x v="968"/>
    <n v="4"/>
    <x v="0"/>
    <n v="854.68"/>
    <n v="1115.24"/>
    <x v="1"/>
    <n v="0.24"/>
    <x v="2"/>
    <x v="1"/>
    <x v="16"/>
  </r>
  <r>
    <n v="1059"/>
    <d v="2023-11-08T00:00:00"/>
    <s v="2023"/>
    <x v="8"/>
    <s v="Wednesday"/>
    <x v="1"/>
    <x v="2"/>
    <x v="969"/>
    <n v="17"/>
    <x v="2"/>
    <n v="1780.14"/>
    <n v="2185.42"/>
    <x v="0"/>
    <n v="0.15"/>
    <x v="2"/>
    <x v="1"/>
    <x v="2"/>
  </r>
  <r>
    <n v="1056"/>
    <d v="2023-12-27T00:00:00"/>
    <s v="2023"/>
    <x v="9"/>
    <s v="Wednesday"/>
    <x v="0"/>
    <x v="3"/>
    <x v="970"/>
    <n v="4"/>
    <x v="1"/>
    <n v="1612.82"/>
    <n v="1647.25"/>
    <x v="0"/>
    <n v="0.04"/>
    <x v="2"/>
    <x v="1"/>
    <x v="12"/>
  </r>
  <r>
    <n v="1007"/>
    <d v="2023-02-28T00:00:00"/>
    <s v="2023"/>
    <x v="0"/>
    <s v="Tuesday"/>
    <x v="2"/>
    <x v="3"/>
    <x v="971"/>
    <n v="43"/>
    <x v="0"/>
    <n v="3967.25"/>
    <n v="4272.92"/>
    <x v="1"/>
    <n v="0.27"/>
    <x v="2"/>
    <x v="0"/>
    <x v="4"/>
  </r>
  <r>
    <n v="1003"/>
    <d v="2023-05-11T00:00:00"/>
    <s v="2023"/>
    <x v="10"/>
    <s v="Thursday"/>
    <x v="2"/>
    <x v="0"/>
    <x v="972"/>
    <n v="26"/>
    <x v="3"/>
    <n v="3418.78"/>
    <n v="3824.1"/>
    <x v="1"/>
    <n v="0.19"/>
    <x v="2"/>
    <x v="0"/>
    <x v="19"/>
  </r>
  <r>
    <n v="1023"/>
    <d v="2023-07-21T00:00:00"/>
    <s v="2023"/>
    <x v="11"/>
    <s v="Friday"/>
    <x v="3"/>
    <x v="0"/>
    <x v="973"/>
    <n v="4"/>
    <x v="2"/>
    <n v="1532.8"/>
    <n v="1619.69"/>
    <x v="0"/>
    <n v="0.05"/>
    <x v="1"/>
    <x v="1"/>
    <x v="7"/>
  </r>
  <r>
    <n v="1018"/>
    <d v="2023-08-31T00:00:00"/>
    <s v="2023"/>
    <x v="3"/>
    <s v="Thursday"/>
    <x v="4"/>
    <x v="3"/>
    <x v="974"/>
    <n v="1"/>
    <x v="3"/>
    <n v="2315.83"/>
    <n v="2333.19"/>
    <x v="1"/>
    <n v="0.01"/>
    <x v="0"/>
    <x v="1"/>
    <x v="18"/>
  </r>
  <r>
    <n v="1038"/>
    <d v="2023-02-04T00:00:00"/>
    <s v="2023"/>
    <x v="0"/>
    <s v="Saturday"/>
    <x v="2"/>
    <x v="0"/>
    <x v="975"/>
    <n v="7"/>
    <x v="0"/>
    <n v="523.02"/>
    <n v="686.25"/>
    <x v="0"/>
    <n v="0.04"/>
    <x v="0"/>
    <x v="0"/>
    <x v="19"/>
  </r>
  <r>
    <n v="1099"/>
    <d v="2023-04-03T00:00:00"/>
    <s v="2023"/>
    <x v="1"/>
    <s v="Monday"/>
    <x v="4"/>
    <x v="0"/>
    <x v="976"/>
    <n v="30"/>
    <x v="0"/>
    <n v="4495.82"/>
    <n v="4794.0099999999902"/>
    <x v="1"/>
    <n v="0.18"/>
    <x v="1"/>
    <x v="1"/>
    <x v="15"/>
  </r>
  <r>
    <n v="1015"/>
    <d v="2023-07-26T00:00:00"/>
    <s v="2023"/>
    <x v="11"/>
    <s v="Wednesday"/>
    <x v="1"/>
    <x v="0"/>
    <x v="977"/>
    <n v="9"/>
    <x v="3"/>
    <n v="4680.3500000000004"/>
    <n v="4758.1099999999997"/>
    <x v="0"/>
    <n v="0.05"/>
    <x v="1"/>
    <x v="0"/>
    <x v="11"/>
  </r>
  <r>
    <n v="1064"/>
    <d v="2023-12-19T00:00:00"/>
    <s v="2023"/>
    <x v="9"/>
    <s v="Tuesday"/>
    <x v="4"/>
    <x v="1"/>
    <x v="978"/>
    <n v="35"/>
    <x v="2"/>
    <n v="4900.03"/>
    <n v="5118.83"/>
    <x v="0"/>
    <n v="7.0000000000000007E-2"/>
    <x v="2"/>
    <x v="1"/>
    <x v="17"/>
  </r>
  <r>
    <n v="1089"/>
    <d v="2023-11-28T00:00:00"/>
    <s v="2023"/>
    <x v="8"/>
    <s v="Tuesday"/>
    <x v="1"/>
    <x v="1"/>
    <x v="979"/>
    <n v="8"/>
    <x v="0"/>
    <n v="4349.34"/>
    <n v="4629.9799999999996"/>
    <x v="0"/>
    <n v="0.01"/>
    <x v="2"/>
    <x v="0"/>
    <x v="13"/>
  </r>
  <r>
    <n v="1028"/>
    <d v="2023-11-01T00:00:00"/>
    <s v="2023"/>
    <x v="8"/>
    <s v="Wednesday"/>
    <x v="0"/>
    <x v="3"/>
    <x v="153"/>
    <n v="24"/>
    <x v="1"/>
    <n v="911.11"/>
    <n v="1214.56"/>
    <x v="1"/>
    <n v="0.22"/>
    <x v="1"/>
    <x v="0"/>
    <x v="12"/>
  </r>
  <r>
    <n v="1074"/>
    <d v="2023-12-16T00:00:00"/>
    <s v="2023"/>
    <x v="9"/>
    <s v="Saturday"/>
    <x v="0"/>
    <x v="0"/>
    <x v="980"/>
    <n v="19"/>
    <x v="0"/>
    <n v="278.67"/>
    <n v="423.13"/>
    <x v="1"/>
    <n v="0.24"/>
    <x v="2"/>
    <x v="0"/>
    <x v="0"/>
  </r>
  <r>
    <n v="1039"/>
    <d v="2023-08-01T00:00:00"/>
    <s v="2023"/>
    <x v="3"/>
    <s v="Tuesday"/>
    <x v="3"/>
    <x v="1"/>
    <x v="981"/>
    <n v="36"/>
    <x v="2"/>
    <n v="2919"/>
    <n v="3125.01"/>
    <x v="1"/>
    <n v="0.24"/>
    <x v="0"/>
    <x v="0"/>
    <x v="8"/>
  </r>
  <r>
    <n v="1057"/>
    <d v="2023-06-08T00:00:00"/>
    <s v="2023"/>
    <x v="6"/>
    <s v="Thursday"/>
    <x v="2"/>
    <x v="3"/>
    <x v="982"/>
    <n v="43"/>
    <x v="0"/>
    <n v="4567.3900000000003"/>
    <n v="4958.78"/>
    <x v="1"/>
    <n v="0.04"/>
    <x v="0"/>
    <x v="1"/>
    <x v="4"/>
  </r>
  <r>
    <n v="1017"/>
    <d v="2023-01-24T00:00:00"/>
    <s v="2023"/>
    <x v="5"/>
    <s v="Tuesday"/>
    <x v="3"/>
    <x v="0"/>
    <x v="983"/>
    <n v="27"/>
    <x v="3"/>
    <n v="927.89"/>
    <n v="1399.09"/>
    <x v="0"/>
    <n v="0.27"/>
    <x v="2"/>
    <x v="0"/>
    <x v="7"/>
  </r>
  <r>
    <n v="1086"/>
    <d v="2023-10-20T00:00:00"/>
    <s v="2023"/>
    <x v="7"/>
    <s v="Friday"/>
    <x v="1"/>
    <x v="2"/>
    <x v="984"/>
    <n v="32"/>
    <x v="0"/>
    <n v="84.86"/>
    <n v="517.17999999999995"/>
    <x v="0"/>
    <n v="0.2"/>
    <x v="2"/>
    <x v="1"/>
    <x v="2"/>
  </r>
  <r>
    <n v="1090"/>
    <d v="2023-01-04T00:00:00"/>
    <s v="2023"/>
    <x v="5"/>
    <s v="Wednesday"/>
    <x v="3"/>
    <x v="0"/>
    <x v="985"/>
    <n v="14"/>
    <x v="0"/>
    <n v="4037.21"/>
    <n v="4323.71"/>
    <x v="0"/>
    <n v="0.27"/>
    <x v="2"/>
    <x v="0"/>
    <x v="7"/>
  </r>
  <r>
    <n v="1044"/>
    <d v="2023-08-08T00:00:00"/>
    <s v="2023"/>
    <x v="3"/>
    <s v="Tuesday"/>
    <x v="4"/>
    <x v="0"/>
    <x v="986"/>
    <n v="18"/>
    <x v="2"/>
    <n v="430.14"/>
    <n v="641.17999999999995"/>
    <x v="1"/>
    <n v="0.13"/>
    <x v="0"/>
    <x v="0"/>
    <x v="15"/>
  </r>
  <r>
    <n v="1025"/>
    <d v="2023-12-30T00:00:00"/>
    <s v="2023"/>
    <x v="9"/>
    <s v="Saturday"/>
    <x v="1"/>
    <x v="1"/>
    <x v="987"/>
    <n v="28"/>
    <x v="3"/>
    <n v="2097.84"/>
    <n v="2270.9899999999998"/>
    <x v="1"/>
    <n v="0.13"/>
    <x v="2"/>
    <x v="1"/>
    <x v="13"/>
  </r>
  <r>
    <n v="1017"/>
    <d v="2023-01-20T00:00:00"/>
    <s v="2023"/>
    <x v="5"/>
    <s v="Friday"/>
    <x v="0"/>
    <x v="3"/>
    <x v="988"/>
    <n v="29"/>
    <x v="2"/>
    <n v="3410.49"/>
    <n v="3481.72"/>
    <x v="1"/>
    <n v="0.24"/>
    <x v="1"/>
    <x v="1"/>
    <x v="12"/>
  </r>
  <r>
    <n v="1013"/>
    <d v="2023-06-01T00:00:00"/>
    <s v="2023"/>
    <x v="6"/>
    <s v="Thursday"/>
    <x v="2"/>
    <x v="3"/>
    <x v="989"/>
    <n v="16"/>
    <x v="0"/>
    <n v="1222.1500000000001"/>
    <n v="1284.3599999999999"/>
    <x v="0"/>
    <n v="0.03"/>
    <x v="2"/>
    <x v="1"/>
    <x v="4"/>
  </r>
  <r>
    <n v="1084"/>
    <d v="2023-02-19T00:00:00"/>
    <s v="2023"/>
    <x v="0"/>
    <s v="Sunday"/>
    <x v="1"/>
    <x v="1"/>
    <x v="990"/>
    <n v="35"/>
    <x v="1"/>
    <n v="465.61"/>
    <n v="812.91"/>
    <x v="1"/>
    <n v="0.16"/>
    <x v="1"/>
    <x v="0"/>
    <x v="13"/>
  </r>
  <r>
    <n v="1025"/>
    <d v="2023-06-26T00:00:00"/>
    <s v="2023"/>
    <x v="6"/>
    <s v="Monday"/>
    <x v="1"/>
    <x v="0"/>
    <x v="991"/>
    <n v="47"/>
    <x v="0"/>
    <n v="3861.61"/>
    <n v="3998.91"/>
    <x v="1"/>
    <n v="0.25"/>
    <x v="2"/>
    <x v="0"/>
    <x v="11"/>
  </r>
  <r>
    <n v="1068"/>
    <d v="2023-04-06T00:00:00"/>
    <s v="2023"/>
    <x v="1"/>
    <s v="Thursday"/>
    <x v="4"/>
    <x v="2"/>
    <x v="992"/>
    <n v="31"/>
    <x v="2"/>
    <n v="3169.37"/>
    <n v="3304.15"/>
    <x v="0"/>
    <n v="0.25"/>
    <x v="2"/>
    <x v="1"/>
    <x v="9"/>
  </r>
  <r>
    <n v="1010"/>
    <d v="2023-04-15T00:00:00"/>
    <s v="2023"/>
    <x v="1"/>
    <s v="Saturday"/>
    <x v="2"/>
    <x v="0"/>
    <x v="993"/>
    <n v="4"/>
    <x v="1"/>
    <n v="4943.03"/>
    <n v="5442.15"/>
    <x v="0"/>
    <n v="0.28999999999999998"/>
    <x v="0"/>
    <x v="0"/>
    <x v="19"/>
  </r>
  <r>
    <n v="1067"/>
    <d v="2023-09-07T00:00:00"/>
    <s v="2023"/>
    <x v="2"/>
    <s v="Thursday"/>
    <x v="0"/>
    <x v="0"/>
    <x v="994"/>
    <n v="37"/>
    <x v="2"/>
    <n v="1754.32"/>
    <n v="1856.3999999999901"/>
    <x v="1"/>
    <n v="0.21"/>
    <x v="1"/>
    <x v="1"/>
    <x v="0"/>
  </r>
  <r>
    <n v="1018"/>
    <d v="2023-04-27T00:00:00"/>
    <s v="2023"/>
    <x v="1"/>
    <s v="Thursday"/>
    <x v="1"/>
    <x v="2"/>
    <x v="995"/>
    <n v="17"/>
    <x v="2"/>
    <n v="355.72"/>
    <n v="438.27"/>
    <x v="0"/>
    <n v="0.06"/>
    <x v="1"/>
    <x v="0"/>
    <x v="2"/>
  </r>
  <r>
    <n v="1100"/>
    <d v="2023-12-20T00:00:00"/>
    <s v="2023"/>
    <x v="9"/>
    <s v="Wednesday"/>
    <x v="1"/>
    <x v="1"/>
    <x v="996"/>
    <n v="39"/>
    <x v="3"/>
    <n v="3685.03"/>
    <n v="3743.39"/>
    <x v="1"/>
    <n v="0.01"/>
    <x v="1"/>
    <x v="0"/>
    <x v="13"/>
  </r>
  <r>
    <n v="1086"/>
    <d v="2023-08-16T00:00:00"/>
    <s v="2023"/>
    <x v="3"/>
    <s v="Wednesday"/>
    <x v="4"/>
    <x v="3"/>
    <x v="997"/>
    <n v="48"/>
    <x v="1"/>
    <n v="2632.58"/>
    <n v="2926.68"/>
    <x v="0"/>
    <n v="0.14000000000000001"/>
    <x v="0"/>
    <x v="0"/>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60F579-A646-4636-94E1-3F0778944B4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3:B4" firstHeaderRow="0" firstDataRow="1" firstDataCol="0"/>
  <pivotFields count="17">
    <pivotField showAll="0"/>
    <pivotField numFmtId="14" showAll="0"/>
    <pivotField showAll="0"/>
    <pivotField showAll="0">
      <items count="13">
        <item x="5"/>
        <item x="0"/>
        <item x="4"/>
        <item x="1"/>
        <item x="10"/>
        <item x="6"/>
        <item x="11"/>
        <item x="3"/>
        <item x="2"/>
        <item x="7"/>
        <item x="8"/>
        <item x="9"/>
        <item t="default"/>
      </items>
    </pivotField>
    <pivotField showAll="0"/>
    <pivotField showAll="0">
      <items count="6">
        <item x="4"/>
        <item x="0"/>
        <item x="2"/>
        <item x="1"/>
        <item x="3"/>
        <item t="default"/>
      </items>
    </pivotField>
    <pivotField showAll="0">
      <items count="5">
        <item x="3"/>
        <item x="0"/>
        <item x="2"/>
        <item x="1"/>
        <item t="default"/>
      </items>
    </pivotField>
    <pivotField dataField="1" numFmtId="164"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numFmtId="164" showAll="0"/>
    <pivotField numFmtId="164" showAll="0"/>
    <pivotField showAll="0">
      <items count="3">
        <item x="1"/>
        <item x="0"/>
        <item t="default"/>
      </items>
    </pivotField>
    <pivotField dataField="1"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s>
  <rowItems count="1">
    <i/>
  </rowItems>
  <colFields count="1">
    <field x="-2"/>
  </colFields>
  <colItems count="2">
    <i>
      <x/>
    </i>
    <i i="1">
      <x v="1"/>
    </i>
  </colItems>
  <dataFields count="2">
    <dataField name="% Discount" fld="13" subtotal="average" baseField="0" baseItem="1"/>
    <dataField name="Sum of Reven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602BA-E5CA-4211-BD49-91F013110D9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location ref="A3:B6" firstHeaderRow="1" firstDataRow="1" firstDataCol="1"/>
  <pivotFields count="17">
    <pivotField showAll="0"/>
    <pivotField numFmtId="14" showAll="0"/>
    <pivotField showAll="0"/>
    <pivotField showAll="0">
      <items count="13">
        <item x="5"/>
        <item x="0"/>
        <item x="4"/>
        <item x="1"/>
        <item x="10"/>
        <item x="6"/>
        <item x="11"/>
        <item x="3"/>
        <item x="2"/>
        <item x="7"/>
        <item x="8"/>
        <item x="9"/>
        <item t="default"/>
      </items>
    </pivotField>
    <pivotField showAll="0"/>
    <pivotField showAll="0">
      <items count="6">
        <item x="4"/>
        <item x="0"/>
        <item x="2"/>
        <item x="1"/>
        <item x="3"/>
        <item t="default"/>
      </items>
    </pivotField>
    <pivotField showAll="0">
      <items count="5">
        <item x="3"/>
        <item x="0"/>
        <item x="2"/>
        <item x="1"/>
        <item t="default"/>
      </items>
    </pivotField>
    <pivotField dataField="1" numFmtId="164" showAll="0"/>
    <pivotField showAll="0"/>
    <pivotField showAll="0">
      <items count="5">
        <item x="2"/>
        <item x="3"/>
        <item x="1"/>
        <item x="0"/>
        <item t="default"/>
      </items>
    </pivotField>
    <pivotField numFmtId="164" showAll="0"/>
    <pivotField numFmtId="164" showAll="0"/>
    <pivotField showAll="0">
      <items count="3">
        <item x="1"/>
        <item x="0"/>
        <item t="default"/>
      </items>
    </pivotField>
    <pivotField showAll="0"/>
    <pivotField showAll="0">
      <items count="4">
        <item x="1"/>
        <item x="0"/>
        <item x="2"/>
        <item t="default"/>
      </items>
    </pivotField>
    <pivotField axis="axisRow" showAll="0">
      <items count="3">
        <item x="0"/>
        <item x="1"/>
        <item t="default"/>
      </items>
    </pivotField>
    <pivotField showAll="0">
      <items count="21">
        <item x="18"/>
        <item x="12"/>
        <item x="4"/>
        <item x="16"/>
        <item x="14"/>
        <item x="15"/>
        <item x="0"/>
        <item x="19"/>
        <item x="11"/>
        <item x="7"/>
        <item x="9"/>
        <item x="3"/>
        <item x="10"/>
        <item x="2"/>
        <item x="6"/>
        <item x="17"/>
        <item x="1"/>
        <item x="5"/>
        <item x="13"/>
        <item x="8"/>
        <item t="default"/>
      </items>
    </pivotField>
  </pivotFields>
  <rowFields count="1">
    <field x="15"/>
  </rowFields>
  <rowItems count="3">
    <i>
      <x/>
    </i>
    <i>
      <x v="1"/>
    </i>
    <i t="grand">
      <x/>
    </i>
  </rowItems>
  <colItems count="1">
    <i/>
  </colItems>
  <dataFields count="1">
    <dataField name="Total Revenue" fld="7" baseField="15" baseItem="0" numFmtId="164"/>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5" count="1" selected="0">
            <x v="0"/>
          </reference>
        </references>
      </pivotArea>
    </chartFormat>
    <chartFormat chart="4" format="6">
      <pivotArea type="data" outline="0" fieldPosition="0">
        <references count="2">
          <reference field="4294967294" count="1" selected="0">
            <x v="0"/>
          </reference>
          <reference field="15" count="1" selected="0">
            <x v="1"/>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9BDA8C-BAC5-4FEC-BE74-B63D9AB944A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category">
  <location ref="A4:B9" firstHeaderRow="1" firstDataRow="1" firstDataCol="1"/>
  <pivotFields count="17">
    <pivotField showAll="0"/>
    <pivotField numFmtId="14" showAll="0"/>
    <pivotField showAll="0"/>
    <pivotField showAll="0">
      <items count="13">
        <item x="5"/>
        <item x="0"/>
        <item x="4"/>
        <item x="1"/>
        <item x="10"/>
        <item x="6"/>
        <item x="11"/>
        <item x="3"/>
        <item x="2"/>
        <item x="7"/>
        <item x="8"/>
        <item x="9"/>
        <item t="default"/>
      </items>
    </pivotField>
    <pivotField showAll="0"/>
    <pivotField showAll="0">
      <items count="6">
        <item x="4"/>
        <item x="0"/>
        <item x="2"/>
        <item x="1"/>
        <item x="3"/>
        <item t="default"/>
      </items>
    </pivotField>
    <pivotField showAll="0">
      <items count="5">
        <item x="3"/>
        <item x="0"/>
        <item x="2"/>
        <item x="1"/>
        <item t="default"/>
      </items>
    </pivotField>
    <pivotField numFmtId="164" showAll="0"/>
    <pivotField showAll="0"/>
    <pivotField axis="axisRow" showAll="0">
      <items count="5">
        <item x="2"/>
        <item x="3"/>
        <item x="1"/>
        <item x="0"/>
        <item t="default"/>
      </items>
    </pivotField>
    <pivotField numFmtId="164" showAll="0"/>
    <pivotField numFmtId="164" showAll="0"/>
    <pivotField showAll="0">
      <items count="3">
        <item x="1"/>
        <item x="0"/>
        <item t="default"/>
      </items>
    </pivotField>
    <pivotField dataField="1" showAll="0"/>
    <pivotField showAll="0">
      <items count="4">
        <item x="1"/>
        <item x="0"/>
        <item x="2"/>
        <item t="default"/>
      </items>
    </pivotField>
    <pivotField showAll="0"/>
    <pivotField showAll="0">
      <items count="21">
        <item x="18"/>
        <item x="12"/>
        <item x="4"/>
        <item x="16"/>
        <item x="14"/>
        <item x="15"/>
        <item x="0"/>
        <item x="19"/>
        <item x="11"/>
        <item x="7"/>
        <item x="9"/>
        <item x="3"/>
        <item x="10"/>
        <item x="2"/>
        <item x="6"/>
        <item x="17"/>
        <item x="1"/>
        <item x="5"/>
        <item x="13"/>
        <item x="8"/>
        <item t="default"/>
      </items>
    </pivotField>
  </pivotFields>
  <rowFields count="1">
    <field x="9"/>
  </rowFields>
  <rowItems count="5">
    <i>
      <x/>
    </i>
    <i>
      <x v="1"/>
    </i>
    <i>
      <x v="2"/>
    </i>
    <i>
      <x v="3"/>
    </i>
    <i t="grand">
      <x/>
    </i>
  </rowItems>
  <colItems count="1">
    <i/>
  </colItems>
  <dataFields count="1">
    <dataField name="Average Discount" fld="13" subtotal="average"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8150D2-5573-402E-A835-08F4C94F2A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category">
  <location ref="A3:B7" firstHeaderRow="1" firstDataRow="1" firstDataCol="1"/>
  <pivotFields count="17">
    <pivotField showAll="0"/>
    <pivotField numFmtId="14" showAll="0"/>
    <pivotField showAll="0"/>
    <pivotField showAll="0">
      <items count="13">
        <item x="5"/>
        <item x="0"/>
        <item x="4"/>
        <item x="1"/>
        <item x="10"/>
        <item x="6"/>
        <item x="11"/>
        <item x="3"/>
        <item x="2"/>
        <item x="7"/>
        <item x="8"/>
        <item x="9"/>
        <item t="default"/>
      </items>
    </pivotField>
    <pivotField showAll="0"/>
    <pivotField showAll="0">
      <items count="6">
        <item x="4"/>
        <item x="0"/>
        <item x="2"/>
        <item x="1"/>
        <item x="3"/>
        <item t="default"/>
      </items>
    </pivotField>
    <pivotField showAll="0">
      <items count="5">
        <item x="3"/>
        <item x="0"/>
        <item x="2"/>
        <item x="1"/>
        <item t="default"/>
      </items>
    </pivotField>
    <pivotField numFmtId="164" showAll="0"/>
    <pivotField dataField="1" showAll="0"/>
    <pivotField showAll="0">
      <items count="5">
        <item x="2"/>
        <item x="3"/>
        <item x="1"/>
        <item x="0"/>
        <item t="default"/>
      </items>
    </pivotField>
    <pivotField numFmtId="164" showAll="0"/>
    <pivotField numFmtId="164" showAll="0"/>
    <pivotField showAll="0">
      <items count="3">
        <item x="1"/>
        <item x="0"/>
        <item t="default"/>
      </items>
    </pivotField>
    <pivotField showAll="0"/>
    <pivotField axis="axisRow" showAll="0">
      <items count="4">
        <item x="1"/>
        <item x="0"/>
        <item x="2"/>
        <item t="default"/>
      </items>
    </pivotField>
    <pivotField showAll="0"/>
    <pivotField showAll="0">
      <items count="21">
        <item x="18"/>
        <item x="12"/>
        <item x="4"/>
        <item x="16"/>
        <item x="14"/>
        <item x="15"/>
        <item x="0"/>
        <item x="19"/>
        <item x="11"/>
        <item x="7"/>
        <item x="9"/>
        <item x="3"/>
        <item x="10"/>
        <item x="2"/>
        <item x="6"/>
        <item x="17"/>
        <item x="1"/>
        <item x="5"/>
        <item x="13"/>
        <item x="8"/>
        <item t="default"/>
      </items>
    </pivotField>
  </pivotFields>
  <rowFields count="1">
    <field x="14"/>
  </rowFields>
  <rowItems count="4">
    <i>
      <x/>
    </i>
    <i>
      <x v="1"/>
    </i>
    <i>
      <x v="2"/>
    </i>
    <i t="grand">
      <x/>
    </i>
  </rowItems>
  <colItems count="1">
    <i/>
  </colItems>
  <dataFields count="1">
    <dataField name="frequency used" fld="8" subtotal="count" baseField="14"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B2EEDF-8652-43AA-AFCE-885EC11B13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category">
  <location ref="A4:B9" firstHeaderRow="1" firstDataRow="1" firstDataCol="1"/>
  <pivotFields count="17">
    <pivotField showAll="0"/>
    <pivotField numFmtId="14" showAll="0"/>
    <pivotField showAll="0"/>
    <pivotField showAll="0">
      <items count="13">
        <item x="5"/>
        <item x="0"/>
        <item x="4"/>
        <item x="1"/>
        <item x="10"/>
        <item x="6"/>
        <item x="11"/>
        <item x="3"/>
        <item x="2"/>
        <item x="7"/>
        <item x="8"/>
        <item x="9"/>
        <item t="default"/>
      </items>
    </pivotField>
    <pivotField showAll="0"/>
    <pivotField showAll="0">
      <items count="6">
        <item x="4"/>
        <item x="0"/>
        <item x="2"/>
        <item x="1"/>
        <item x="3"/>
        <item t="default"/>
      </items>
    </pivotField>
    <pivotField showAll="0">
      <items count="5">
        <item x="3"/>
        <item x="0"/>
        <item x="2"/>
        <item x="1"/>
        <item t="default"/>
      </items>
    </pivotField>
    <pivotField numFmtId="164" showAll="0"/>
    <pivotField dataField="1" showAll="0"/>
    <pivotField axis="axisRow" showAll="0">
      <items count="5">
        <item x="2"/>
        <item x="3"/>
        <item x="1"/>
        <item x="0"/>
        <item t="default"/>
      </items>
    </pivotField>
    <pivotField numFmtId="164" showAll="0"/>
    <pivotField numFmtId="164"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Total Quantity_Sold" fld="8" baseField="9"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EE1827-2CFE-4D47-A31C-4044706709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 type">
  <location ref="A6:B9" firstHeaderRow="1" firstDataRow="1" firstDataCol="1"/>
  <pivotFields count="17">
    <pivotField showAll="0"/>
    <pivotField numFmtId="14" showAll="0"/>
    <pivotField showAll="0"/>
    <pivotField showAll="0">
      <items count="13">
        <item x="5"/>
        <item x="0"/>
        <item x="4"/>
        <item x="1"/>
        <item x="10"/>
        <item x="6"/>
        <item x="11"/>
        <item x="3"/>
        <item x="2"/>
        <item x="7"/>
        <item x="8"/>
        <item x="9"/>
        <item t="default"/>
      </items>
    </pivotField>
    <pivotField showAll="0"/>
    <pivotField showAll="0">
      <items count="6">
        <item x="4"/>
        <item x="0"/>
        <item x="2"/>
        <item x="1"/>
        <item x="3"/>
        <item t="default"/>
      </items>
    </pivotField>
    <pivotField showAll="0">
      <items count="5">
        <item x="3"/>
        <item x="0"/>
        <item x="2"/>
        <item x="1"/>
        <item t="default"/>
      </items>
    </pivotField>
    <pivotField dataField="1" numFmtId="164" showAll="0"/>
    <pivotField showAll="0"/>
    <pivotField showAll="0">
      <items count="5">
        <item x="2"/>
        <item x="3"/>
        <item x="1"/>
        <item x="0"/>
        <item t="default"/>
      </items>
    </pivotField>
    <pivotField numFmtId="164" showAll="0"/>
    <pivotField numFmtId="164" showAll="0"/>
    <pivotField axis="axisRow" showAll="0">
      <items count="3">
        <item x="1"/>
        <item x="0"/>
        <item t="default"/>
      </items>
    </pivotField>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s>
  <rowFields count="1">
    <field x="12"/>
  </rowFields>
  <rowItems count="3">
    <i>
      <x/>
    </i>
    <i>
      <x v="1"/>
    </i>
    <i t="grand">
      <x/>
    </i>
  </rowItems>
  <colItems count="1">
    <i/>
  </colItems>
  <dataFields count="1">
    <dataField name="Sum of Revenue" fld="7" baseField="12" baseItem="0" numFmtId="164"/>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EA4436-608D-41AE-940C-8BC46C05064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A4:B17" firstHeaderRow="1" firstDataRow="1" firstDataCol="1"/>
  <pivotFields count="17">
    <pivotField showAll="0"/>
    <pivotField numFmtId="14" showAll="0"/>
    <pivotField showAll="0"/>
    <pivotField axis="axisRow" showAll="0">
      <items count="13">
        <item x="5"/>
        <item x="0"/>
        <item x="4"/>
        <item x="1"/>
        <item x="10"/>
        <item x="6"/>
        <item x="11"/>
        <item x="3"/>
        <item x="2"/>
        <item x="7"/>
        <item x="8"/>
        <item x="9"/>
        <item t="default"/>
      </items>
    </pivotField>
    <pivotField showAll="0"/>
    <pivotField showAll="0">
      <items count="6">
        <item x="4"/>
        <item x="0"/>
        <item x="2"/>
        <item x="1"/>
        <item x="3"/>
        <item t="default"/>
      </items>
    </pivotField>
    <pivotField showAll="0"/>
    <pivotField dataField="1" numFmtId="164" showAll="0"/>
    <pivotField showAll="0"/>
    <pivotField showAll="0"/>
    <pivotField numFmtId="164" showAll="0"/>
    <pivotField numFmtId="164"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Total Revenue" fld="7" baseField="5"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A0C7B9-2F97-43A9-8CEC-477F35EB31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rep">
  <location ref="A3:B9" firstHeaderRow="1" firstDataRow="1" firstDataCol="1"/>
  <pivotFields count="17">
    <pivotField showAll="0"/>
    <pivotField numFmtId="14" showAll="0"/>
    <pivotField showAll="0"/>
    <pivotField showAll="0">
      <items count="13">
        <item x="5"/>
        <item x="0"/>
        <item x="4"/>
        <item x="1"/>
        <item x="10"/>
        <item x="6"/>
        <item x="11"/>
        <item x="3"/>
        <item x="2"/>
        <item x="7"/>
        <item x="8"/>
        <item x="9"/>
        <item t="default"/>
      </items>
    </pivotField>
    <pivotField showAll="0"/>
    <pivotField axis="axisRow" showAll="0">
      <items count="6">
        <item x="4"/>
        <item x="0"/>
        <item x="2"/>
        <item x="1"/>
        <item x="3"/>
        <item t="default"/>
      </items>
    </pivotField>
    <pivotField showAll="0">
      <items count="5">
        <item x="3"/>
        <item x="0"/>
        <item x="2"/>
        <item x="1"/>
        <item t="default"/>
      </items>
    </pivotField>
    <pivotField dataField="1" numFmtId="164" showAll="0"/>
    <pivotField showAll="0"/>
    <pivotField showAll="0"/>
    <pivotField numFmtId="164" showAll="0"/>
    <pivotField numFmtId="164" showAll="0"/>
    <pivotField showAll="0"/>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s>
  <rowFields count="1">
    <field x="5"/>
  </rowFields>
  <rowItems count="6">
    <i>
      <x/>
    </i>
    <i>
      <x v="1"/>
    </i>
    <i>
      <x v="2"/>
    </i>
    <i>
      <x v="3"/>
    </i>
    <i>
      <x v="4"/>
    </i>
    <i t="grand">
      <x/>
    </i>
  </rowItems>
  <colItems count="1">
    <i/>
  </colItems>
  <dataFields count="1">
    <dataField name="Total Revenue" fld="7" baseField="5"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AE5FAD-AADA-4088-A3E0-95FD062CC2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5:B10" firstHeaderRow="1" firstDataRow="1" firstDataCol="1"/>
  <pivotFields count="17">
    <pivotField showAll="0"/>
    <pivotField numFmtId="14" showAll="0"/>
    <pivotField showAll="0"/>
    <pivotField showAll="0">
      <items count="13">
        <item x="5"/>
        <item x="0"/>
        <item x="4"/>
        <item x="1"/>
        <item x="10"/>
        <item x="6"/>
        <item x="11"/>
        <item x="3"/>
        <item x="2"/>
        <item x="7"/>
        <item x="8"/>
        <item x="9"/>
        <item t="default"/>
      </items>
    </pivotField>
    <pivotField showAll="0"/>
    <pivotField showAll="0">
      <items count="6">
        <item x="4"/>
        <item x="0"/>
        <item x="2"/>
        <item x="1"/>
        <item x="3"/>
        <item t="default"/>
      </items>
    </pivotField>
    <pivotField axis="axisRow" showAll="0">
      <items count="5">
        <item x="3"/>
        <item x="0"/>
        <item x="2"/>
        <item x="1"/>
        <item t="default"/>
      </items>
    </pivotField>
    <pivotField dataField="1" numFmtId="164" showAll="0"/>
    <pivotField showAll="0"/>
    <pivotField showAll="0"/>
    <pivotField numFmtId="164" showAll="0"/>
    <pivotField numFmtId="164" showAll="0"/>
    <pivotField showAll="0"/>
    <pivotField showAll="0"/>
    <pivotField showAll="0"/>
    <pivotField showAll="0"/>
    <pivotField showAll="0">
      <items count="21">
        <item x="18"/>
        <item x="12"/>
        <item x="4"/>
        <item x="16"/>
        <item x="14"/>
        <item x="15"/>
        <item x="0"/>
        <item x="19"/>
        <item x="11"/>
        <item x="7"/>
        <item x="9"/>
        <item x="3"/>
        <item x="10"/>
        <item x="2"/>
        <item x="6"/>
        <item x="17"/>
        <item x="1"/>
        <item x="5"/>
        <item x="13"/>
        <item x="8"/>
        <item t="default"/>
      </items>
    </pivotField>
  </pivotFields>
  <rowFields count="1">
    <field x="6"/>
  </rowFields>
  <rowItems count="5">
    <i>
      <x/>
    </i>
    <i>
      <x v="1"/>
    </i>
    <i>
      <x v="2"/>
    </i>
    <i>
      <x v="3"/>
    </i>
    <i t="grand">
      <x/>
    </i>
  </rowItems>
  <colItems count="1">
    <i/>
  </colItems>
  <dataFields count="1">
    <dataField name="TOTAL REVENUE" fld="7" baseField="6"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7F9A2FA-E70A-49DF-8D4D-1043D4974180}" sourceName="Month">
  <pivotTables>
    <pivotTable tabId="13" name="PivotTable15"/>
    <pivotTable tabId="10" name="PivotTable13"/>
    <pivotTable tabId="9" name="PivotTable14"/>
    <pivotTable tabId="7" name="PivotTable8"/>
    <pivotTable tabId="8" name="PivotTable9"/>
    <pivotTable tabId="6" name="PivotTable7"/>
    <pivotTable tabId="4" name="PivotTable5"/>
    <pivotTable tabId="3" name="PivotTable4"/>
  </pivotTables>
  <data>
    <tabular pivotCacheId="1578791369">
      <items count="12">
        <i x="5" s="1"/>
        <i x="0" s="1"/>
        <i x="4" s="1"/>
        <i x="1" s="1"/>
        <i x="10" s="1"/>
        <i x="6" s="1"/>
        <i x="11" s="1"/>
        <i x="3" s="1"/>
        <i x="2"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3F9685-4623-4279-A091-628CA88392D6}" sourceName="Region">
  <pivotTables>
    <pivotTable tabId="13" name="PivotTable15"/>
    <pivotTable tabId="10" name="PivotTable13"/>
    <pivotTable tabId="9" name="PivotTable14"/>
    <pivotTable tabId="7" name="PivotTable8"/>
    <pivotTable tabId="8" name="PivotTable9"/>
    <pivotTable tabId="6" name="PivotTable7"/>
    <pivotTable tabId="4" name="PivotTable5"/>
    <pivotTable tabId="3" name="PivotTable4"/>
  </pivotTables>
  <data>
    <tabular pivotCacheId="157879136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and_Sales_Rep" xr10:uid="{6AB19038-1DD8-4FA8-9235-CEB5C6D1FAFD}" sourceName="Region_and_Sales_Rep">
  <pivotTables>
    <pivotTable tabId="13" name="PivotTable15"/>
    <pivotTable tabId="10" name="PivotTable13"/>
    <pivotTable tabId="9" name="PivotTable14"/>
    <pivotTable tabId="7" name="PivotTable8"/>
    <pivotTable tabId="8" name="PivotTable9"/>
    <pivotTable tabId="4" name="PivotTable5"/>
    <pivotTable tabId="3" name="PivotTable4"/>
  </pivotTables>
  <data>
    <tabular pivotCacheId="1578791369">
      <items count="20">
        <i x="18" s="1"/>
        <i x="12" s="1"/>
        <i x="4" s="1"/>
        <i x="16" s="1"/>
        <i x="14" s="1"/>
        <i x="15" s="1"/>
        <i x="0" s="1"/>
        <i x="19" s="1"/>
        <i x="11" s="1"/>
        <i x="7" s="1"/>
        <i x="9" s="1"/>
        <i x="3" s="1"/>
        <i x="10" s="1"/>
        <i x="2" s="1"/>
        <i x="6" s="1"/>
        <i x="17" s="1"/>
        <i x="1" s="1"/>
        <i x="5" s="1"/>
        <i x="1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98A973F-ECD9-4A6E-996F-556CB3449725}" cache="Slicer_Month" caption="Month" startItem="2" style="SlicerStyleDark5" rowHeight="251883"/>
  <slicer name="Region" xr10:uid="{C52BDD9B-0F36-4EB2-9824-167AF9087185}" cache="Slicer_Region" caption="Region" style="SlicerStyleDark5" rowHeight="251883"/>
  <slicer name="Region_and_Sales_Rep" xr10:uid="{9B7D5FED-B0A0-4C6A-A4FD-1230D46C72EF}" cache="Slicer_Region_and_Sales_Rep" caption="Region_and_Sales_Rep" startItem="10"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36568B-C8BB-4407-B5BC-C96E4C40A80F}" name="Sales" displayName="Sales" ref="A1:R1001" totalsRowShown="0">
  <autoFilter ref="A1:R1001" xr:uid="{9836568B-C8BB-4407-B5BC-C96E4C40A80F}"/>
  <tableColumns count="18">
    <tableColumn id="1" xr3:uid="{472171C3-4FC4-41FE-96C8-0D42DED3AEED}" name="Product_ID"/>
    <tableColumn id="2" xr3:uid="{1F29C4D7-5479-4FDA-9E56-386C7346F027}" name="Sale_Date" dataDxfId="7"/>
    <tableColumn id="15" xr3:uid="{4867FCDF-2B64-48F4-A07A-84405972EF2D}" name="YEAR" dataDxfId="6">
      <calculatedColumnFormula>TEXT(Sales[[#This Row],[Sale_Date]],"YYYY")</calculatedColumnFormula>
    </tableColumn>
    <tableColumn id="16" xr3:uid="{E5A262C8-80EA-4FED-BE4B-106A398F9C0E}" name="Month" dataDxfId="5">
      <calculatedColumnFormula>TEXT(Sales[[#This Row],[Sale_Date]],"MMMM")</calculatedColumnFormula>
    </tableColumn>
    <tableColumn id="17" xr3:uid="{1B5D27FA-C1D2-4B68-90D6-041BAFAEDFFE}" name="Day" dataDxfId="4">
      <calculatedColumnFormula>TEXT(Sales[[#This Row],[Sale_Date]],"DDDD")</calculatedColumnFormula>
    </tableColumn>
    <tableColumn id="3" xr3:uid="{5F2D63A5-B41E-4CF7-9599-0B2960E26F5E}" name="Sales_Rep"/>
    <tableColumn id="4" xr3:uid="{AB328269-0274-40B2-88BF-DF6E9F543265}" name="Region"/>
    <tableColumn id="5" xr3:uid="{15EA529F-ABCF-4DE4-A15B-E24D311D4D5E}" name="Revenue" dataDxfId="3"/>
    <tableColumn id="6" xr3:uid="{2B6925BC-D087-4457-BC5E-C81A0036ADC0}" name="Quantity_Sold"/>
    <tableColumn id="7" xr3:uid="{02950CC3-AB16-481A-A3A0-F1EC2F5444DC}" name="Product_Category"/>
    <tableColumn id="8" xr3:uid="{3508F4B2-47E9-4C08-936E-9BD8323EEE56}" name="Unit_Cost" dataDxfId="2"/>
    <tableColumn id="9" xr3:uid="{A5A7690D-A981-4994-BCA6-5B0EBCEA207C}" name="Unit_Price" dataDxfId="1"/>
    <tableColumn id="10" xr3:uid="{58DA357F-4D92-47C5-9783-983BD10F2E53}" name="Customer_Type"/>
    <tableColumn id="11" xr3:uid="{0E45E78C-16A6-489D-A769-8591FC8198E8}" name="Discount"/>
    <tableColumn id="18" xr3:uid="{52FB7789-D405-4C56-81AD-E796C0CAB018}" name="Discount Amount" dataDxfId="0">
      <calculatedColumnFormula>(Sales[[#This Row],[Unit_Price]]-Sales[[#This Row],[Discount]]*Sales[[#This Row],[Unit_Price]])</calculatedColumnFormula>
    </tableColumn>
    <tableColumn id="12" xr3:uid="{1D796CF9-A81F-4FCF-99A1-7A232D766F7D}" name="Payment_Method"/>
    <tableColumn id="13" xr3:uid="{B3781A4C-2728-4A29-AF4C-A223FBEBDB29}" name="Sales_Channel"/>
    <tableColumn id="14" xr3:uid="{3EB8B40F-D143-4665-98E1-907E35F796B0}" name="Region_and_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B9AF-BFEF-4418-8F40-09C1F50682C6}">
  <dimension ref="A1:T26"/>
  <sheetViews>
    <sheetView tabSelected="1" zoomScaleNormal="100" workbookViewId="0">
      <selection activeCell="R24" sqref="R24"/>
    </sheetView>
  </sheetViews>
  <sheetFormatPr defaultRowHeight="14.5" x14ac:dyDescent="0.35"/>
  <sheetData>
    <row r="1" spans="1:20" x14ac:dyDescent="0.35">
      <c r="A1" s="6"/>
      <c r="B1" s="6"/>
      <c r="C1" s="6"/>
      <c r="D1" s="6"/>
      <c r="E1" s="6"/>
      <c r="F1" s="6"/>
      <c r="G1" s="6"/>
      <c r="H1" s="6"/>
      <c r="I1" s="6"/>
      <c r="J1" s="6"/>
      <c r="K1" s="6"/>
      <c r="L1" s="6"/>
      <c r="M1" s="6"/>
      <c r="N1" s="6"/>
      <c r="O1" s="6"/>
      <c r="P1" s="6"/>
      <c r="Q1" s="6"/>
      <c r="R1" s="6"/>
      <c r="S1" s="6"/>
      <c r="T1" s="6"/>
    </row>
    <row r="2" spans="1:20" x14ac:dyDescent="0.35">
      <c r="A2" s="6"/>
      <c r="B2" s="6"/>
      <c r="C2" s="6"/>
      <c r="D2" s="6"/>
      <c r="E2" s="6"/>
      <c r="F2" s="6"/>
      <c r="G2" s="6"/>
      <c r="H2" s="6"/>
      <c r="I2" s="6"/>
      <c r="J2" s="6"/>
      <c r="K2" s="6"/>
      <c r="L2" s="6"/>
      <c r="M2" s="6"/>
      <c r="N2" s="6"/>
      <c r="O2" s="6"/>
      <c r="P2" s="6"/>
      <c r="Q2" s="6"/>
      <c r="R2" s="6"/>
      <c r="S2" s="6"/>
      <c r="T2" s="6"/>
    </row>
    <row r="3" spans="1:20" x14ac:dyDescent="0.35">
      <c r="A3" s="6"/>
      <c r="B3" s="6"/>
      <c r="C3" s="6"/>
      <c r="D3" s="6"/>
      <c r="E3" s="6"/>
      <c r="F3" s="6"/>
      <c r="G3" s="6"/>
      <c r="H3" s="6"/>
      <c r="I3" s="6"/>
      <c r="J3" s="6"/>
      <c r="K3" s="6"/>
      <c r="L3" s="6"/>
      <c r="M3" s="6"/>
      <c r="N3" s="6"/>
      <c r="O3" s="6"/>
      <c r="P3" s="6"/>
      <c r="Q3" s="6"/>
      <c r="R3" s="6"/>
      <c r="S3" s="6"/>
      <c r="T3" s="6"/>
    </row>
    <row r="4" spans="1:20" x14ac:dyDescent="0.35">
      <c r="A4" s="6"/>
      <c r="B4" s="6"/>
      <c r="C4" s="6"/>
      <c r="D4" s="6"/>
      <c r="E4" s="6"/>
      <c r="F4" s="6"/>
      <c r="G4" s="6"/>
      <c r="H4" s="6"/>
      <c r="I4" s="6"/>
      <c r="J4" s="6"/>
      <c r="K4" s="6"/>
      <c r="L4" s="6"/>
      <c r="M4" s="6"/>
      <c r="N4" s="6"/>
      <c r="O4" s="6"/>
      <c r="P4" s="6"/>
      <c r="Q4" s="6"/>
      <c r="R4" s="6"/>
      <c r="S4" s="6"/>
      <c r="T4" s="6"/>
    </row>
    <row r="5" spans="1:20" x14ac:dyDescent="0.35">
      <c r="A5" s="6"/>
      <c r="B5" s="6"/>
      <c r="C5" s="6"/>
      <c r="D5" s="6"/>
      <c r="E5" s="6"/>
      <c r="F5" s="6"/>
      <c r="G5" s="6"/>
      <c r="H5" s="6"/>
      <c r="I5" s="6"/>
      <c r="J5" s="6"/>
      <c r="K5" s="6"/>
      <c r="L5" s="6"/>
      <c r="M5" s="6"/>
      <c r="N5" s="6"/>
      <c r="O5" s="6"/>
      <c r="P5" s="6"/>
      <c r="Q5" s="6"/>
      <c r="R5" s="6"/>
      <c r="S5" s="6"/>
      <c r="T5" s="6"/>
    </row>
    <row r="6" spans="1:20" x14ac:dyDescent="0.35">
      <c r="A6" s="6"/>
      <c r="B6" s="6"/>
      <c r="C6" s="6"/>
      <c r="D6" s="6"/>
      <c r="E6" s="6"/>
      <c r="F6" s="6"/>
      <c r="G6" s="6"/>
      <c r="H6" s="6"/>
      <c r="I6" s="6"/>
      <c r="J6" s="6"/>
      <c r="K6" s="6"/>
      <c r="L6" s="6"/>
      <c r="M6" s="6"/>
      <c r="N6" s="6"/>
      <c r="O6" s="6"/>
      <c r="P6" s="6"/>
      <c r="Q6" s="6"/>
      <c r="R6" s="6"/>
      <c r="S6" s="6"/>
      <c r="T6" s="6"/>
    </row>
    <row r="7" spans="1:20" x14ac:dyDescent="0.35">
      <c r="A7" s="6"/>
      <c r="B7" s="6"/>
      <c r="C7" s="6"/>
      <c r="D7" s="6"/>
      <c r="E7" s="6"/>
      <c r="F7" s="6"/>
      <c r="G7" s="6"/>
      <c r="H7" s="6"/>
      <c r="I7" s="6"/>
      <c r="J7" s="6"/>
      <c r="K7" s="6"/>
      <c r="L7" s="6"/>
      <c r="M7" s="6"/>
      <c r="N7" s="6"/>
      <c r="O7" s="6"/>
      <c r="P7" s="6"/>
      <c r="Q7" s="6"/>
      <c r="R7" s="6"/>
      <c r="S7" s="6"/>
      <c r="T7" s="6"/>
    </row>
    <row r="8" spans="1:20" x14ac:dyDescent="0.35">
      <c r="A8" s="6"/>
      <c r="B8" s="6"/>
      <c r="C8" s="6"/>
      <c r="D8" s="6"/>
      <c r="E8" s="6"/>
      <c r="F8" s="6"/>
      <c r="G8" s="6"/>
      <c r="H8" s="6"/>
      <c r="I8" s="6"/>
      <c r="J8" s="6"/>
      <c r="K8" s="6"/>
      <c r="L8" s="6"/>
      <c r="M8" s="6"/>
      <c r="N8" s="6"/>
      <c r="O8" s="6"/>
      <c r="P8" s="6"/>
      <c r="Q8" s="6"/>
      <c r="R8" s="6"/>
      <c r="S8" s="6"/>
      <c r="T8" s="6"/>
    </row>
    <row r="9" spans="1:20" x14ac:dyDescent="0.35">
      <c r="A9" s="6"/>
      <c r="B9" s="6"/>
      <c r="C9" s="6"/>
      <c r="D9" s="6"/>
      <c r="E9" s="6"/>
      <c r="F9" s="6"/>
      <c r="G9" s="6"/>
      <c r="H9" s="6"/>
      <c r="I9" s="6"/>
      <c r="J9" s="6"/>
      <c r="K9" s="6"/>
      <c r="L9" s="6"/>
      <c r="M9" s="6"/>
      <c r="N9" s="6"/>
      <c r="O9" s="6"/>
      <c r="P9" s="6"/>
      <c r="Q9" s="6"/>
      <c r="R9" s="6"/>
      <c r="S9" s="6"/>
      <c r="T9" s="6"/>
    </row>
    <row r="10" spans="1:20" x14ac:dyDescent="0.35">
      <c r="A10" s="6"/>
      <c r="B10" s="6"/>
      <c r="C10" s="6"/>
      <c r="D10" s="6"/>
      <c r="E10" s="6"/>
      <c r="F10" s="6"/>
      <c r="G10" s="6"/>
      <c r="H10" s="6"/>
      <c r="I10" s="6"/>
      <c r="J10" s="6"/>
      <c r="K10" s="6"/>
      <c r="L10" s="6"/>
      <c r="M10" s="6"/>
      <c r="N10" s="6"/>
      <c r="O10" s="6"/>
      <c r="P10" s="6"/>
      <c r="Q10" s="6"/>
      <c r="R10" s="6"/>
      <c r="S10" s="6"/>
      <c r="T10" s="6"/>
    </row>
    <row r="11" spans="1:20" x14ac:dyDescent="0.35">
      <c r="A11" s="6"/>
      <c r="B11" s="6"/>
      <c r="C11" s="6"/>
      <c r="D11" s="6"/>
      <c r="E11" s="6"/>
      <c r="F11" s="6"/>
      <c r="G11" s="6"/>
      <c r="H11" s="6"/>
      <c r="I11" s="6"/>
      <c r="J11" s="6"/>
      <c r="K11" s="6"/>
      <c r="L11" s="6"/>
      <c r="M11" s="6"/>
      <c r="N11" s="6"/>
      <c r="O11" s="6"/>
      <c r="P11" s="6"/>
      <c r="Q11" s="6"/>
      <c r="R11" s="6"/>
      <c r="S11" s="6"/>
      <c r="T11" s="6"/>
    </row>
    <row r="12" spans="1:20" x14ac:dyDescent="0.35">
      <c r="A12" s="6"/>
      <c r="B12" s="6"/>
      <c r="C12" s="6"/>
      <c r="D12" s="6"/>
      <c r="E12" s="6"/>
      <c r="F12" s="6"/>
      <c r="G12" s="6"/>
      <c r="H12" s="6"/>
      <c r="I12" s="6"/>
      <c r="J12" s="6"/>
      <c r="K12" s="6"/>
      <c r="L12" s="6"/>
      <c r="M12" s="6"/>
      <c r="N12" s="6"/>
      <c r="O12" s="6"/>
      <c r="P12" s="6"/>
      <c r="Q12" s="6"/>
      <c r="R12" s="6"/>
      <c r="S12" s="6"/>
      <c r="T12" s="6"/>
    </row>
    <row r="13" spans="1:20" x14ac:dyDescent="0.35">
      <c r="A13" s="6"/>
      <c r="B13" s="6"/>
      <c r="C13" s="6"/>
      <c r="D13" s="6"/>
      <c r="E13" s="6"/>
      <c r="F13" s="6"/>
      <c r="G13" s="6"/>
      <c r="H13" s="6"/>
      <c r="I13" s="6"/>
      <c r="J13" s="6"/>
      <c r="K13" s="6"/>
      <c r="L13" s="6"/>
      <c r="M13" s="6"/>
      <c r="N13" s="6"/>
      <c r="O13" s="6"/>
      <c r="P13" s="6"/>
      <c r="Q13" s="6"/>
      <c r="R13" s="6"/>
      <c r="S13" s="6"/>
      <c r="T13" s="6"/>
    </row>
    <row r="14" spans="1:20" x14ac:dyDescent="0.35">
      <c r="A14" s="6"/>
      <c r="B14" s="6"/>
      <c r="C14" s="6"/>
      <c r="D14" s="6"/>
      <c r="E14" s="6"/>
      <c r="F14" s="6"/>
      <c r="G14" s="6"/>
      <c r="H14" s="6"/>
      <c r="I14" s="6"/>
      <c r="J14" s="6"/>
      <c r="K14" s="6"/>
      <c r="L14" s="6"/>
      <c r="M14" s="6"/>
      <c r="N14" s="6"/>
      <c r="O14" s="6"/>
      <c r="P14" s="6"/>
      <c r="Q14" s="6"/>
      <c r="R14" s="6" t="s">
        <v>101</v>
      </c>
      <c r="S14" s="6"/>
      <c r="T14" s="6"/>
    </row>
    <row r="15" spans="1:20" x14ac:dyDescent="0.35">
      <c r="A15" s="6"/>
      <c r="B15" s="6"/>
      <c r="C15" s="6"/>
      <c r="D15" s="6"/>
      <c r="E15" s="6"/>
      <c r="F15" s="6"/>
      <c r="G15" s="6"/>
      <c r="H15" s="6"/>
      <c r="I15" s="6"/>
      <c r="J15" s="6"/>
      <c r="K15" s="6"/>
      <c r="L15" s="6"/>
      <c r="M15" s="6"/>
      <c r="N15" s="6"/>
      <c r="O15" s="6"/>
      <c r="P15" s="6"/>
      <c r="Q15" s="6"/>
      <c r="R15" s="6"/>
      <c r="S15" s="6"/>
      <c r="T15" s="6"/>
    </row>
    <row r="16" spans="1:20" x14ac:dyDescent="0.35">
      <c r="A16" s="6"/>
      <c r="B16" s="6"/>
      <c r="C16" s="6"/>
      <c r="D16" s="6"/>
      <c r="E16" s="6"/>
      <c r="F16" s="6"/>
      <c r="G16" s="6"/>
      <c r="H16" s="6"/>
      <c r="I16" s="6"/>
      <c r="J16" s="6"/>
      <c r="K16" s="6"/>
      <c r="L16" s="6"/>
      <c r="M16" s="6"/>
      <c r="N16" s="6"/>
      <c r="O16" s="6"/>
      <c r="P16" s="6"/>
      <c r="Q16" s="6"/>
      <c r="R16" s="6"/>
      <c r="S16" s="6"/>
      <c r="T16" s="6"/>
    </row>
    <row r="17" spans="1:20" x14ac:dyDescent="0.35">
      <c r="A17" s="6"/>
      <c r="B17" s="6"/>
      <c r="C17" s="6"/>
      <c r="D17" s="6"/>
      <c r="E17" s="6"/>
      <c r="F17" s="6"/>
      <c r="G17" s="6"/>
      <c r="H17" s="6"/>
      <c r="I17" s="6"/>
      <c r="J17" s="6"/>
      <c r="K17" s="6"/>
      <c r="L17" s="6"/>
      <c r="M17" s="6"/>
      <c r="N17" s="6"/>
      <c r="O17" s="6"/>
      <c r="P17" s="6"/>
      <c r="Q17" s="6"/>
      <c r="R17" s="6"/>
      <c r="S17" s="6"/>
      <c r="T17" s="6"/>
    </row>
    <row r="18" spans="1:20" x14ac:dyDescent="0.35">
      <c r="A18" s="6"/>
      <c r="B18" s="6"/>
      <c r="C18" s="6"/>
      <c r="D18" s="6"/>
      <c r="E18" s="6"/>
      <c r="F18" s="6"/>
      <c r="G18" s="6"/>
      <c r="H18" s="6"/>
      <c r="I18" s="6"/>
      <c r="J18" s="6"/>
      <c r="K18" s="6"/>
      <c r="L18" s="6"/>
      <c r="M18" s="6"/>
      <c r="N18" s="6"/>
      <c r="O18" s="6"/>
      <c r="P18" s="6"/>
      <c r="Q18" s="6"/>
      <c r="R18" s="6"/>
      <c r="S18" s="6"/>
      <c r="T18" s="6"/>
    </row>
    <row r="19" spans="1:20" x14ac:dyDescent="0.35">
      <c r="A19" s="6"/>
      <c r="B19" s="6"/>
      <c r="C19" s="6"/>
      <c r="D19" s="6"/>
      <c r="E19" s="6"/>
      <c r="F19" s="6"/>
      <c r="G19" s="6"/>
      <c r="H19" s="6"/>
      <c r="I19" s="6"/>
      <c r="J19" s="6"/>
      <c r="K19" s="6"/>
      <c r="L19" s="6"/>
      <c r="M19" s="6"/>
      <c r="N19" s="6"/>
      <c r="O19" s="6"/>
      <c r="P19" s="6"/>
      <c r="Q19" s="6"/>
      <c r="R19" s="6"/>
      <c r="S19" s="6"/>
      <c r="T19" s="6"/>
    </row>
    <row r="20" spans="1:20" x14ac:dyDescent="0.35">
      <c r="A20" s="6"/>
      <c r="B20" s="6"/>
      <c r="C20" s="6"/>
      <c r="D20" s="6"/>
      <c r="E20" s="6"/>
      <c r="F20" s="6"/>
      <c r="G20" s="6"/>
      <c r="H20" s="6"/>
      <c r="I20" s="6"/>
      <c r="J20" s="6"/>
      <c r="K20" s="6"/>
      <c r="L20" s="6"/>
      <c r="M20" s="6"/>
      <c r="N20" s="6"/>
      <c r="O20" s="6"/>
      <c r="P20" s="6"/>
      <c r="Q20" s="6"/>
      <c r="R20" s="6"/>
      <c r="S20" s="6"/>
      <c r="T20" s="6"/>
    </row>
    <row r="21" spans="1:20" x14ac:dyDescent="0.35">
      <c r="A21" s="6"/>
      <c r="B21" s="6"/>
      <c r="C21" s="6"/>
      <c r="D21" s="6"/>
      <c r="E21" s="6"/>
      <c r="F21" s="6"/>
      <c r="G21" s="6"/>
      <c r="H21" s="6"/>
      <c r="I21" s="6"/>
      <c r="J21" s="6"/>
      <c r="K21" s="6"/>
      <c r="L21" s="6"/>
      <c r="M21" s="6"/>
      <c r="N21" s="6"/>
      <c r="O21" s="6"/>
      <c r="P21" s="6"/>
      <c r="Q21" s="6"/>
      <c r="R21" s="6"/>
      <c r="S21" s="6"/>
      <c r="T21" s="6"/>
    </row>
    <row r="22" spans="1:20" x14ac:dyDescent="0.35">
      <c r="A22" s="6"/>
      <c r="B22" s="6"/>
      <c r="C22" s="6"/>
      <c r="D22" s="6"/>
      <c r="E22" s="6"/>
      <c r="F22" s="6"/>
      <c r="G22" s="6"/>
      <c r="H22" s="6"/>
      <c r="I22" s="6"/>
      <c r="J22" s="6"/>
      <c r="K22" s="6"/>
      <c r="L22" s="6"/>
      <c r="M22" s="6"/>
      <c r="N22" s="6"/>
      <c r="O22" s="6"/>
      <c r="P22" s="6"/>
      <c r="Q22" s="6"/>
      <c r="R22" s="6"/>
      <c r="S22" s="6"/>
      <c r="T22" s="6"/>
    </row>
    <row r="23" spans="1:20" x14ac:dyDescent="0.35">
      <c r="A23" s="6"/>
      <c r="B23" s="6"/>
      <c r="C23" s="6"/>
      <c r="D23" s="6"/>
      <c r="E23" s="6"/>
      <c r="F23" s="6"/>
      <c r="G23" s="6"/>
      <c r="H23" s="6"/>
      <c r="I23" s="6"/>
      <c r="J23" s="6"/>
      <c r="K23" s="6"/>
      <c r="L23" s="6"/>
      <c r="M23" s="6"/>
      <c r="N23" s="6"/>
      <c r="O23" s="6"/>
      <c r="P23" s="6"/>
      <c r="Q23" s="6"/>
      <c r="R23" s="6"/>
      <c r="S23" s="6"/>
      <c r="T23" s="6"/>
    </row>
    <row r="24" spans="1:20" x14ac:dyDescent="0.35">
      <c r="A24" s="6"/>
      <c r="B24" s="6"/>
      <c r="C24" s="6"/>
      <c r="D24" s="6"/>
      <c r="E24" s="6"/>
      <c r="F24" s="6"/>
      <c r="G24" s="6"/>
      <c r="H24" s="6"/>
      <c r="I24" s="6"/>
      <c r="J24" s="6"/>
      <c r="K24" s="6"/>
      <c r="L24" s="6"/>
      <c r="M24" s="6"/>
      <c r="N24" s="6"/>
      <c r="O24" s="6"/>
      <c r="P24" s="6"/>
      <c r="Q24" s="6"/>
      <c r="R24" s="6" t="s">
        <v>101</v>
      </c>
      <c r="S24" s="6"/>
      <c r="T24" s="6"/>
    </row>
    <row r="25" spans="1:20" x14ac:dyDescent="0.35">
      <c r="A25" s="6"/>
      <c r="B25" s="6"/>
      <c r="C25" s="6"/>
      <c r="D25" s="6"/>
      <c r="E25" s="6"/>
      <c r="F25" s="6"/>
      <c r="G25" s="6"/>
      <c r="H25" s="6"/>
      <c r="I25" s="6"/>
      <c r="J25" s="6"/>
      <c r="K25" s="6"/>
      <c r="L25" s="6"/>
      <c r="M25" s="6"/>
      <c r="N25" s="6"/>
      <c r="O25" s="6"/>
      <c r="P25" s="6"/>
      <c r="Q25" s="6"/>
      <c r="R25" s="6"/>
      <c r="S25" s="6"/>
      <c r="T25" s="6"/>
    </row>
    <row r="26" spans="1:20" x14ac:dyDescent="0.35">
      <c r="A26" s="6"/>
      <c r="B26" s="6"/>
      <c r="C26" s="6"/>
      <c r="D26" s="6"/>
      <c r="E26" s="6"/>
      <c r="F26" s="6"/>
      <c r="G26" s="6"/>
      <c r="H26" s="6"/>
      <c r="I26" s="6"/>
      <c r="J26" s="6"/>
      <c r="K26" s="6"/>
      <c r="L26" s="6"/>
      <c r="M26" s="6"/>
      <c r="N26" s="6"/>
      <c r="O26" s="6"/>
      <c r="P26" s="6"/>
      <c r="Q26" s="6"/>
      <c r="R26" s="6"/>
      <c r="S26" s="6"/>
      <c r="T2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5C5C0-69A1-4AF0-920F-A6A6F39E0E5D}">
  <dimension ref="A1:AE1001"/>
  <sheetViews>
    <sheetView topLeftCell="G1" zoomScale="59" zoomScaleNormal="70" workbookViewId="0">
      <selection activeCell="U22" sqref="U22"/>
    </sheetView>
  </sheetViews>
  <sheetFormatPr defaultRowHeight="14.5" x14ac:dyDescent="0.35"/>
  <cols>
    <col min="1" max="1" width="12" customWidth="1"/>
    <col min="2" max="5" width="11.1796875" customWidth="1"/>
    <col min="6" max="6" width="11.453125" customWidth="1"/>
    <col min="7" max="7" width="8.54296875" customWidth="1"/>
    <col min="8" max="8" width="14.7265625" style="2" customWidth="1"/>
    <col min="9" max="9" width="14.54296875" customWidth="1"/>
    <col min="10" max="10" width="17.54296875" customWidth="1"/>
    <col min="11" max="11" width="11" style="2" customWidth="1"/>
    <col min="12" max="12" width="11.453125" style="2" customWidth="1"/>
    <col min="13" max="13" width="15.7265625" customWidth="1"/>
    <col min="14" max="15" width="14.6328125" customWidth="1"/>
    <col min="16" max="16" width="17.26953125" customWidth="1"/>
    <col min="17" max="17" width="15.26953125" customWidth="1"/>
    <col min="18" max="18" width="23.1796875" bestFit="1" customWidth="1"/>
    <col min="21" max="21" width="62" bestFit="1" customWidth="1"/>
  </cols>
  <sheetData>
    <row r="1" spans="1:31" x14ac:dyDescent="0.35">
      <c r="A1" t="s">
        <v>0</v>
      </c>
      <c r="B1" t="s">
        <v>1</v>
      </c>
      <c r="C1" t="s">
        <v>66</v>
      </c>
      <c r="D1" t="s">
        <v>67</v>
      </c>
      <c r="E1" t="s">
        <v>68</v>
      </c>
      <c r="F1" t="s">
        <v>2</v>
      </c>
      <c r="G1" t="s">
        <v>3</v>
      </c>
      <c r="H1" s="2" t="s">
        <v>74</v>
      </c>
      <c r="I1" t="s">
        <v>4</v>
      </c>
      <c r="J1" t="s">
        <v>5</v>
      </c>
      <c r="K1" s="2" t="s">
        <v>6</v>
      </c>
      <c r="L1" s="2" t="s">
        <v>7</v>
      </c>
      <c r="M1" t="s">
        <v>8</v>
      </c>
      <c r="N1" t="s">
        <v>9</v>
      </c>
      <c r="O1" t="s">
        <v>95</v>
      </c>
      <c r="P1" t="s">
        <v>10</v>
      </c>
      <c r="Q1" t="s">
        <v>11</v>
      </c>
      <c r="R1" t="s">
        <v>12</v>
      </c>
      <c r="U1" t="s">
        <v>53</v>
      </c>
    </row>
    <row r="2" spans="1:31" x14ac:dyDescent="0.35">
      <c r="A2">
        <v>1052</v>
      </c>
      <c r="B2" s="1">
        <v>44960</v>
      </c>
      <c r="C2" s="1" t="str">
        <f>TEXT(Sales[[#This Row],[Sale_Date]],"YYYY")</f>
        <v>2023</v>
      </c>
      <c r="D2" s="1" t="str">
        <f>TEXT(Sales[[#This Row],[Sale_Date]],"MMMM")</f>
        <v>February</v>
      </c>
      <c r="E2" s="1" t="str">
        <f>TEXT(Sales[[#This Row],[Sale_Date]],"DDDD")</f>
        <v>Friday</v>
      </c>
      <c r="F2" t="s">
        <v>13</v>
      </c>
      <c r="G2" t="s">
        <v>14</v>
      </c>
      <c r="H2" s="2">
        <v>5053.97</v>
      </c>
      <c r="I2">
        <v>18</v>
      </c>
      <c r="J2" t="s">
        <v>15</v>
      </c>
      <c r="K2" s="2">
        <v>152.75</v>
      </c>
      <c r="L2" s="2">
        <v>267.22000000000003</v>
      </c>
      <c r="M2" t="s">
        <v>16</v>
      </c>
      <c r="N2">
        <v>0.09</v>
      </c>
      <c r="O2" s="2">
        <f>(Sales[[#This Row],[Unit_Price]]-Sales[[#This Row],[Discount]]*Sales[[#This Row],[Unit_Price]])</f>
        <v>243.17020000000002</v>
      </c>
      <c r="P2" t="s">
        <v>17</v>
      </c>
      <c r="Q2" t="s">
        <v>18</v>
      </c>
      <c r="R2" t="s">
        <v>19</v>
      </c>
      <c r="U2" s="3" t="s">
        <v>54</v>
      </c>
    </row>
    <row r="3" spans="1:31" x14ac:dyDescent="0.35">
      <c r="A3">
        <v>1093</v>
      </c>
      <c r="B3" s="1">
        <v>45037</v>
      </c>
      <c r="C3" s="1" t="str">
        <f>TEXT(Sales[[#This Row],[Sale_Date]],"YYYY")</f>
        <v>2023</v>
      </c>
      <c r="D3" s="1" t="str">
        <f>TEXT(Sales[[#This Row],[Sale_Date]],"MMMM")</f>
        <v>April</v>
      </c>
      <c r="E3" s="1" t="str">
        <f>TEXT(Sales[[#This Row],[Sale_Date]],"DDDD")</f>
        <v>Friday</v>
      </c>
      <c r="F3" t="s">
        <v>13</v>
      </c>
      <c r="G3" t="s">
        <v>20</v>
      </c>
      <c r="H3" s="2">
        <v>4384.0200000000004</v>
      </c>
      <c r="I3">
        <v>17</v>
      </c>
      <c r="J3" t="s">
        <v>15</v>
      </c>
      <c r="K3" s="2">
        <v>3816.39</v>
      </c>
      <c r="L3" s="2">
        <v>4209.4399999999996</v>
      </c>
      <c r="M3" t="s">
        <v>16</v>
      </c>
      <c r="N3">
        <v>0.11</v>
      </c>
      <c r="O3" s="2">
        <f>(Sales[[#This Row],[Unit_Price]]-Sales[[#This Row],[Discount]]*Sales[[#This Row],[Unit_Price]])</f>
        <v>3746.4015999999997</v>
      </c>
      <c r="P3" t="s">
        <v>17</v>
      </c>
      <c r="Q3" t="s">
        <v>21</v>
      </c>
      <c r="R3" t="s">
        <v>22</v>
      </c>
      <c r="U3" t="s">
        <v>55</v>
      </c>
    </row>
    <row r="4" spans="1:31" x14ac:dyDescent="0.35">
      <c r="A4">
        <v>1015</v>
      </c>
      <c r="B4" s="1">
        <v>45190</v>
      </c>
      <c r="C4" s="1" t="str">
        <f>TEXT(Sales[[#This Row],[Sale_Date]],"YYYY")</f>
        <v>2023</v>
      </c>
      <c r="D4" s="1" t="str">
        <f>TEXT(Sales[[#This Row],[Sale_Date]],"MMMM")</f>
        <v>September</v>
      </c>
      <c r="E4" s="1" t="str">
        <f>TEXT(Sales[[#This Row],[Sale_Date]],"DDDD")</f>
        <v>Thursday</v>
      </c>
      <c r="F4" t="s">
        <v>23</v>
      </c>
      <c r="G4" t="s">
        <v>24</v>
      </c>
      <c r="H4" s="2">
        <v>4631.2299999999996</v>
      </c>
      <c r="I4">
        <v>30</v>
      </c>
      <c r="J4" t="s">
        <v>25</v>
      </c>
      <c r="K4" s="2">
        <v>261.56</v>
      </c>
      <c r="L4" s="2">
        <v>371.4</v>
      </c>
      <c r="M4" t="s">
        <v>16</v>
      </c>
      <c r="N4">
        <v>0.2</v>
      </c>
      <c r="O4" s="2">
        <f>(Sales[[#This Row],[Unit_Price]]-Sales[[#This Row],[Discount]]*Sales[[#This Row],[Unit_Price]])</f>
        <v>297.12</v>
      </c>
      <c r="P4" t="s">
        <v>26</v>
      </c>
      <c r="Q4" t="s">
        <v>21</v>
      </c>
      <c r="R4" t="s">
        <v>27</v>
      </c>
      <c r="U4" t="s">
        <v>56</v>
      </c>
      <c r="V4" t="s">
        <v>69</v>
      </c>
      <c r="W4">
        <f>COUNTIF(F:F,"BOB")</f>
        <v>208</v>
      </c>
      <c r="X4" t="s">
        <v>23</v>
      </c>
      <c r="Y4">
        <f>COUNTIF(Sales[Sales_Rep], "David")</f>
        <v>222</v>
      </c>
      <c r="Z4" t="s">
        <v>70</v>
      </c>
      <c r="AA4">
        <f>COUNTIF(Sales[Sales_Rep], "Alice")</f>
        <v>192</v>
      </c>
      <c r="AB4" t="s">
        <v>71</v>
      </c>
      <c r="AC4">
        <f>COUNTIF(Sales[Sales_Rep], "Charlie")</f>
        <v>169</v>
      </c>
      <c r="AD4" t="s">
        <v>72</v>
      </c>
      <c r="AE4">
        <f>COUNTIF(Sales[Sales_Rep], "Eve")</f>
        <v>209</v>
      </c>
    </row>
    <row r="5" spans="1:31" x14ac:dyDescent="0.35">
      <c r="A5">
        <v>1072</v>
      </c>
      <c r="B5" s="1">
        <v>45162</v>
      </c>
      <c r="C5" s="1" t="str">
        <f>TEXT(Sales[[#This Row],[Sale_Date]],"YYYY")</f>
        <v>2023</v>
      </c>
      <c r="D5" s="1" t="str">
        <f>TEXT(Sales[[#This Row],[Sale_Date]],"MMMM")</f>
        <v>August</v>
      </c>
      <c r="E5" s="1" t="str">
        <f>TEXT(Sales[[#This Row],[Sale_Date]],"DDDD")</f>
        <v>Thursday</v>
      </c>
      <c r="F5" t="s">
        <v>13</v>
      </c>
      <c r="G5" t="s">
        <v>24</v>
      </c>
      <c r="H5" s="2">
        <v>2167.94</v>
      </c>
      <c r="I5">
        <v>39</v>
      </c>
      <c r="J5" t="s">
        <v>28</v>
      </c>
      <c r="K5" s="2">
        <v>4330.03</v>
      </c>
      <c r="L5" s="2">
        <v>4467.75</v>
      </c>
      <c r="M5" t="s">
        <v>29</v>
      </c>
      <c r="N5">
        <v>0.02</v>
      </c>
      <c r="O5" s="2">
        <f>(Sales[[#This Row],[Unit_Price]]-Sales[[#This Row],[Discount]]*Sales[[#This Row],[Unit_Price]])</f>
        <v>4378.3950000000004</v>
      </c>
      <c r="P5" t="s">
        <v>30</v>
      </c>
      <c r="Q5" t="s">
        <v>21</v>
      </c>
      <c r="R5" t="s">
        <v>31</v>
      </c>
      <c r="U5" t="s">
        <v>55</v>
      </c>
    </row>
    <row r="6" spans="1:31" x14ac:dyDescent="0.35">
      <c r="A6">
        <v>1061</v>
      </c>
      <c r="B6" s="1">
        <v>45009</v>
      </c>
      <c r="C6" s="1" t="str">
        <f>TEXT(Sales[[#This Row],[Sale_Date]],"YYYY")</f>
        <v>2023</v>
      </c>
      <c r="D6" s="1" t="str">
        <f>TEXT(Sales[[#This Row],[Sale_Date]],"MMMM")</f>
        <v>March</v>
      </c>
      <c r="E6" s="1" t="str">
        <f>TEXT(Sales[[#This Row],[Sale_Date]],"DDDD")</f>
        <v>Friday</v>
      </c>
      <c r="F6" t="s">
        <v>32</v>
      </c>
      <c r="G6" t="s">
        <v>33</v>
      </c>
      <c r="H6" s="2">
        <v>3750.2</v>
      </c>
      <c r="I6">
        <v>13</v>
      </c>
      <c r="J6" t="s">
        <v>34</v>
      </c>
      <c r="K6" s="2">
        <v>637.37</v>
      </c>
      <c r="L6" s="2">
        <v>692.71</v>
      </c>
      <c r="M6" t="s">
        <v>29</v>
      </c>
      <c r="N6">
        <v>0.08</v>
      </c>
      <c r="O6" s="2">
        <f>(Sales[[#This Row],[Unit_Price]]-Sales[[#This Row],[Discount]]*Sales[[#This Row],[Unit_Price]])</f>
        <v>637.29320000000007</v>
      </c>
      <c r="P6" t="s">
        <v>30</v>
      </c>
      <c r="Q6" t="s">
        <v>18</v>
      </c>
      <c r="R6" t="s">
        <v>35</v>
      </c>
      <c r="U6" t="s">
        <v>57</v>
      </c>
      <c r="V6">
        <f>SUMIF(Sales[Revenue], "North", Sales[Region])</f>
        <v>0</v>
      </c>
    </row>
    <row r="7" spans="1:31" x14ac:dyDescent="0.35">
      <c r="A7">
        <v>1021</v>
      </c>
      <c r="B7" s="1">
        <v>44968</v>
      </c>
      <c r="C7" s="1" t="str">
        <f>TEXT(Sales[[#This Row],[Sale_Date]],"YYYY")</f>
        <v>2023</v>
      </c>
      <c r="D7" s="1" t="str">
        <f>TEXT(Sales[[#This Row],[Sale_Date]],"MMMM")</f>
        <v>February</v>
      </c>
      <c r="E7" s="1" t="str">
        <f>TEXT(Sales[[#This Row],[Sale_Date]],"DDDD")</f>
        <v>Saturday</v>
      </c>
      <c r="F7" t="s">
        <v>32</v>
      </c>
      <c r="G7" t="s">
        <v>20</v>
      </c>
      <c r="H7" s="2">
        <v>3761.15</v>
      </c>
      <c r="I7">
        <v>32</v>
      </c>
      <c r="J7" t="s">
        <v>25</v>
      </c>
      <c r="K7" s="2">
        <v>900.79</v>
      </c>
      <c r="L7" s="2">
        <v>1106.51</v>
      </c>
      <c r="M7" t="s">
        <v>29</v>
      </c>
      <c r="N7">
        <v>0.21</v>
      </c>
      <c r="O7" s="2">
        <f>(Sales[[#This Row],[Unit_Price]]-Sales[[#This Row],[Discount]]*Sales[[#This Row],[Unit_Price]])</f>
        <v>874.14290000000005</v>
      </c>
      <c r="P7" t="s">
        <v>17</v>
      </c>
      <c r="Q7" t="s">
        <v>18</v>
      </c>
      <c r="R7" t="s">
        <v>36</v>
      </c>
      <c r="U7" t="s">
        <v>55</v>
      </c>
    </row>
    <row r="8" spans="1:31" x14ac:dyDescent="0.35">
      <c r="A8">
        <v>1083</v>
      </c>
      <c r="B8" s="1">
        <v>45027</v>
      </c>
      <c r="C8" s="1" t="str">
        <f>TEXT(Sales[[#This Row],[Sale_Date]],"YYYY")</f>
        <v>2023</v>
      </c>
      <c r="D8" s="1" t="str">
        <f>TEXT(Sales[[#This Row],[Sale_Date]],"MMMM")</f>
        <v>April</v>
      </c>
      <c r="E8" s="1" t="str">
        <f>TEXT(Sales[[#This Row],[Sale_Date]],"DDDD")</f>
        <v>Tuesday</v>
      </c>
      <c r="F8" t="s">
        <v>13</v>
      </c>
      <c r="G8" t="s">
        <v>20</v>
      </c>
      <c r="H8" s="2">
        <v>618.30999999999995</v>
      </c>
      <c r="I8">
        <v>29</v>
      </c>
      <c r="J8" t="s">
        <v>15</v>
      </c>
      <c r="K8" s="2">
        <v>2408.81</v>
      </c>
      <c r="L8" s="2">
        <v>2624.09</v>
      </c>
      <c r="M8" t="s">
        <v>16</v>
      </c>
      <c r="N8">
        <v>0.14000000000000001</v>
      </c>
      <c r="O8" s="2">
        <f>(Sales[[#This Row],[Unit_Price]]-Sales[[#This Row],[Discount]]*Sales[[#This Row],[Unit_Price]])</f>
        <v>2256.7174</v>
      </c>
      <c r="P8" t="s">
        <v>17</v>
      </c>
      <c r="Q8" t="s">
        <v>18</v>
      </c>
      <c r="R8" t="s">
        <v>22</v>
      </c>
      <c r="U8" t="s">
        <v>58</v>
      </c>
    </row>
    <row r="9" spans="1:31" x14ac:dyDescent="0.35">
      <c r="A9">
        <v>1087</v>
      </c>
      <c r="B9" s="1">
        <v>44932</v>
      </c>
      <c r="C9" s="1" t="str">
        <f>TEXT(Sales[[#This Row],[Sale_Date]],"YYYY")</f>
        <v>2023</v>
      </c>
      <c r="D9" s="1" t="str">
        <f>TEXT(Sales[[#This Row],[Sale_Date]],"MMMM")</f>
        <v>January</v>
      </c>
      <c r="E9" s="1" t="str">
        <f>TEXT(Sales[[#This Row],[Sale_Date]],"DDDD")</f>
        <v>Friday</v>
      </c>
      <c r="F9" t="s">
        <v>37</v>
      </c>
      <c r="G9" t="s">
        <v>24</v>
      </c>
      <c r="H9" s="2">
        <v>7698.92</v>
      </c>
      <c r="I9">
        <v>46</v>
      </c>
      <c r="J9" t="s">
        <v>15</v>
      </c>
      <c r="K9" s="2">
        <v>3702.51</v>
      </c>
      <c r="L9" s="2">
        <v>3964.65</v>
      </c>
      <c r="M9" t="s">
        <v>29</v>
      </c>
      <c r="N9">
        <v>0.12</v>
      </c>
      <c r="O9" s="2">
        <f>(Sales[[#This Row],[Unit_Price]]-Sales[[#This Row],[Discount]]*Sales[[#This Row],[Unit_Price]])</f>
        <v>3488.8920000000003</v>
      </c>
      <c r="P9" t="s">
        <v>26</v>
      </c>
      <c r="Q9" t="s">
        <v>18</v>
      </c>
      <c r="R9" t="s">
        <v>38</v>
      </c>
      <c r="U9" t="s">
        <v>53</v>
      </c>
    </row>
    <row r="10" spans="1:31" x14ac:dyDescent="0.35">
      <c r="A10">
        <v>1075</v>
      </c>
      <c r="B10" s="1">
        <v>45106</v>
      </c>
      <c r="C10" s="1" t="str">
        <f>TEXT(Sales[[#This Row],[Sale_Date]],"YYYY")</f>
        <v>2023</v>
      </c>
      <c r="D10" s="1" t="str">
        <f>TEXT(Sales[[#This Row],[Sale_Date]],"MMMM")</f>
        <v>June</v>
      </c>
      <c r="E10" s="1" t="str">
        <f>TEXT(Sales[[#This Row],[Sale_Date]],"DDDD")</f>
        <v>Thursday</v>
      </c>
      <c r="F10" t="s">
        <v>23</v>
      </c>
      <c r="G10" t="s">
        <v>24</v>
      </c>
      <c r="H10" s="2">
        <v>4223.3900000000003</v>
      </c>
      <c r="I10">
        <v>30</v>
      </c>
      <c r="J10" t="s">
        <v>15</v>
      </c>
      <c r="K10" s="2">
        <v>738.06</v>
      </c>
      <c r="L10" s="2">
        <v>1095.44999999999</v>
      </c>
      <c r="M10" t="s">
        <v>29</v>
      </c>
      <c r="N10">
        <v>0.05</v>
      </c>
      <c r="O10" s="2">
        <f>(Sales[[#This Row],[Unit_Price]]-Sales[[#This Row],[Discount]]*Sales[[#This Row],[Unit_Price]])</f>
        <v>1040.6774999999905</v>
      </c>
      <c r="P10" t="s">
        <v>26</v>
      </c>
      <c r="Q10" t="s">
        <v>18</v>
      </c>
      <c r="R10" t="s">
        <v>27</v>
      </c>
      <c r="U10" t="s">
        <v>59</v>
      </c>
    </row>
    <row r="11" spans="1:31" x14ac:dyDescent="0.35">
      <c r="A11">
        <v>1075</v>
      </c>
      <c r="B11" s="1">
        <v>45208</v>
      </c>
      <c r="C11" s="1" t="str">
        <f>TEXT(Sales[[#This Row],[Sale_Date]],"YYYY")</f>
        <v>2023</v>
      </c>
      <c r="D11" s="1" t="str">
        <f>TEXT(Sales[[#This Row],[Sale_Date]],"MMMM")</f>
        <v>October</v>
      </c>
      <c r="E11" s="1" t="str">
        <f>TEXT(Sales[[#This Row],[Sale_Date]],"DDDD")</f>
        <v>Monday</v>
      </c>
      <c r="F11" t="s">
        <v>32</v>
      </c>
      <c r="G11" t="s">
        <v>20</v>
      </c>
      <c r="H11" s="2">
        <v>8239.58</v>
      </c>
      <c r="I11">
        <v>18</v>
      </c>
      <c r="J11" t="s">
        <v>28</v>
      </c>
      <c r="K11" s="2">
        <v>2228.35</v>
      </c>
      <c r="L11" s="2">
        <v>2682.34</v>
      </c>
      <c r="M11" t="s">
        <v>29</v>
      </c>
      <c r="N11">
        <v>0.13</v>
      </c>
      <c r="O11" s="2">
        <f>(Sales[[#This Row],[Unit_Price]]-Sales[[#This Row],[Discount]]*Sales[[#This Row],[Unit_Price]])</f>
        <v>2333.6358</v>
      </c>
      <c r="P11" t="s">
        <v>26</v>
      </c>
      <c r="Q11" t="s">
        <v>18</v>
      </c>
      <c r="R11" t="s">
        <v>36</v>
      </c>
      <c r="U11" t="s">
        <v>55</v>
      </c>
    </row>
    <row r="12" spans="1:31" x14ac:dyDescent="0.35">
      <c r="A12">
        <v>1088</v>
      </c>
      <c r="B12" s="1">
        <v>45246</v>
      </c>
      <c r="C12" s="1" t="str">
        <f>TEXT(Sales[[#This Row],[Sale_Date]],"YYYY")</f>
        <v>2023</v>
      </c>
      <c r="D12" s="1" t="str">
        <f>TEXT(Sales[[#This Row],[Sale_Date]],"MMMM")</f>
        <v>November</v>
      </c>
      <c r="E12" s="1" t="str">
        <f>TEXT(Sales[[#This Row],[Sale_Date]],"DDDD")</f>
        <v>Thursday</v>
      </c>
      <c r="F12" t="s">
        <v>37</v>
      </c>
      <c r="G12" t="s">
        <v>14</v>
      </c>
      <c r="H12" s="2">
        <v>8518.4500000000007</v>
      </c>
      <c r="I12">
        <v>13</v>
      </c>
      <c r="J12" t="s">
        <v>15</v>
      </c>
      <c r="K12" s="2">
        <v>2440.11</v>
      </c>
      <c r="L12" s="2">
        <v>2517.6</v>
      </c>
      <c r="M12" t="s">
        <v>29</v>
      </c>
      <c r="N12">
        <v>0.23</v>
      </c>
      <c r="O12" s="2">
        <f>(Sales[[#This Row],[Unit_Price]]-Sales[[#This Row],[Discount]]*Sales[[#This Row],[Unit_Price]])</f>
        <v>1938.5519999999999</v>
      </c>
      <c r="P12" t="s">
        <v>26</v>
      </c>
      <c r="Q12" t="s">
        <v>21</v>
      </c>
      <c r="R12" t="s">
        <v>39</v>
      </c>
      <c r="U12" t="s">
        <v>60</v>
      </c>
    </row>
    <row r="13" spans="1:31" x14ac:dyDescent="0.35">
      <c r="A13">
        <v>1100</v>
      </c>
      <c r="B13" s="1">
        <v>45152</v>
      </c>
      <c r="C13" s="1" t="str">
        <f>TEXT(Sales[[#This Row],[Sale_Date]],"YYYY")</f>
        <v>2023</v>
      </c>
      <c r="D13" s="1" t="str">
        <f>TEXT(Sales[[#This Row],[Sale_Date]],"MMMM")</f>
        <v>August</v>
      </c>
      <c r="E13" s="1" t="str">
        <f>TEXT(Sales[[#This Row],[Sale_Date]],"DDDD")</f>
        <v>Monday</v>
      </c>
      <c r="F13" t="s">
        <v>13</v>
      </c>
      <c r="G13" t="s">
        <v>20</v>
      </c>
      <c r="H13" s="2">
        <v>2198.7399999999998</v>
      </c>
      <c r="I13">
        <v>43</v>
      </c>
      <c r="J13" t="s">
        <v>25</v>
      </c>
      <c r="K13" s="2">
        <v>1100.81</v>
      </c>
      <c r="L13" s="2">
        <v>1137.44</v>
      </c>
      <c r="M13" t="s">
        <v>16</v>
      </c>
      <c r="N13">
        <v>0.08</v>
      </c>
      <c r="O13" s="2">
        <f>(Sales[[#This Row],[Unit_Price]]-Sales[[#This Row],[Discount]]*Sales[[#This Row],[Unit_Price]])</f>
        <v>1046.4448</v>
      </c>
      <c r="P13" t="s">
        <v>26</v>
      </c>
      <c r="Q13" t="s">
        <v>18</v>
      </c>
      <c r="R13" t="s">
        <v>22</v>
      </c>
      <c r="U13" t="s">
        <v>55</v>
      </c>
    </row>
    <row r="14" spans="1:31" x14ac:dyDescent="0.35">
      <c r="A14">
        <v>1024</v>
      </c>
      <c r="B14" s="1">
        <v>45241</v>
      </c>
      <c r="C14" s="1" t="str">
        <f>TEXT(Sales[[#This Row],[Sale_Date]],"YYYY")</f>
        <v>2023</v>
      </c>
      <c r="D14" s="1" t="str">
        <f>TEXT(Sales[[#This Row],[Sale_Date]],"MMMM")</f>
        <v>November</v>
      </c>
      <c r="E14" s="1" t="str">
        <f>TEXT(Sales[[#This Row],[Sale_Date]],"DDDD")</f>
        <v>Saturday</v>
      </c>
      <c r="F14" t="s">
        <v>37</v>
      </c>
      <c r="G14" t="s">
        <v>20</v>
      </c>
      <c r="H14" s="2">
        <v>6607.8</v>
      </c>
      <c r="I14">
        <v>21</v>
      </c>
      <c r="J14" t="s">
        <v>25</v>
      </c>
      <c r="K14" s="2">
        <v>622.01</v>
      </c>
      <c r="L14" s="2">
        <v>641.09</v>
      </c>
      <c r="M14" t="s">
        <v>16</v>
      </c>
      <c r="N14">
        <v>0</v>
      </c>
      <c r="O14" s="2">
        <f>(Sales[[#This Row],[Unit_Price]]-Sales[[#This Row],[Discount]]*Sales[[#This Row],[Unit_Price]])</f>
        <v>641.09</v>
      </c>
      <c r="P14" t="s">
        <v>26</v>
      </c>
      <c r="Q14" t="s">
        <v>21</v>
      </c>
      <c r="R14" t="s">
        <v>40</v>
      </c>
      <c r="U14" t="s">
        <v>61</v>
      </c>
    </row>
    <row r="15" spans="1:31" x14ac:dyDescent="0.35">
      <c r="A15">
        <v>1003</v>
      </c>
      <c r="B15" s="1">
        <v>45291</v>
      </c>
      <c r="C15" s="1" t="str">
        <f>TEXT(Sales[[#This Row],[Sale_Date]],"YYYY")</f>
        <v>2023</v>
      </c>
      <c r="D15" s="1" t="str">
        <f>TEXT(Sales[[#This Row],[Sale_Date]],"MMMM")</f>
        <v>December</v>
      </c>
      <c r="E15" s="1" t="str">
        <f>TEXT(Sales[[#This Row],[Sale_Date]],"DDDD")</f>
        <v>Sunday</v>
      </c>
      <c r="F15" t="s">
        <v>41</v>
      </c>
      <c r="G15" t="s">
        <v>24</v>
      </c>
      <c r="H15" s="2">
        <v>4775.59</v>
      </c>
      <c r="I15">
        <v>30</v>
      </c>
      <c r="J15" t="s">
        <v>15</v>
      </c>
      <c r="K15" s="2">
        <v>4190.28</v>
      </c>
      <c r="L15" s="2">
        <v>4270.6499999999996</v>
      </c>
      <c r="M15" t="s">
        <v>29</v>
      </c>
      <c r="N15">
        <v>0.2</v>
      </c>
      <c r="O15" s="2">
        <f>(Sales[[#This Row],[Unit_Price]]-Sales[[#This Row],[Discount]]*Sales[[#This Row],[Unit_Price]])</f>
        <v>3416.5199999999995</v>
      </c>
      <c r="P15" t="s">
        <v>17</v>
      </c>
      <c r="Q15" t="s">
        <v>18</v>
      </c>
      <c r="R15" t="s">
        <v>42</v>
      </c>
      <c r="U15" t="s">
        <v>55</v>
      </c>
    </row>
    <row r="16" spans="1:31" x14ac:dyDescent="0.35">
      <c r="A16">
        <v>1022</v>
      </c>
      <c r="B16" s="1">
        <v>45155</v>
      </c>
      <c r="C16" s="1" t="str">
        <f>TEXT(Sales[[#This Row],[Sale_Date]],"YYYY")</f>
        <v>2023</v>
      </c>
      <c r="D16" s="1" t="str">
        <f>TEXT(Sales[[#This Row],[Sale_Date]],"MMMM")</f>
        <v>August</v>
      </c>
      <c r="E16" s="1" t="str">
        <f>TEXT(Sales[[#This Row],[Sale_Date]],"DDDD")</f>
        <v>Thursday</v>
      </c>
      <c r="F16" t="s">
        <v>32</v>
      </c>
      <c r="G16" t="s">
        <v>24</v>
      </c>
      <c r="H16" s="2">
        <v>8813.5499999999993</v>
      </c>
      <c r="I16">
        <v>21</v>
      </c>
      <c r="J16" t="s">
        <v>25</v>
      </c>
      <c r="K16" s="2">
        <v>2537.1999999999998</v>
      </c>
      <c r="L16" s="2">
        <v>2869.6</v>
      </c>
      <c r="M16" t="s">
        <v>29</v>
      </c>
      <c r="N16">
        <v>0.28999999999999998</v>
      </c>
      <c r="O16" s="2">
        <f>(Sales[[#This Row],[Unit_Price]]-Sales[[#This Row],[Discount]]*Sales[[#This Row],[Unit_Price]])</f>
        <v>2037.4159999999999</v>
      </c>
      <c r="P16" t="s">
        <v>26</v>
      </c>
      <c r="Q16" t="s">
        <v>21</v>
      </c>
      <c r="R16" t="s">
        <v>43</v>
      </c>
      <c r="U16" t="s">
        <v>62</v>
      </c>
    </row>
    <row r="17" spans="1:21" x14ac:dyDescent="0.35">
      <c r="A17">
        <v>1053</v>
      </c>
      <c r="B17" s="1">
        <v>45215</v>
      </c>
      <c r="C17" s="1" t="str">
        <f>TEXT(Sales[[#This Row],[Sale_Date]],"YYYY")</f>
        <v>2023</v>
      </c>
      <c r="D17" s="1" t="str">
        <f>TEXT(Sales[[#This Row],[Sale_Date]],"MMMM")</f>
        <v>October</v>
      </c>
      <c r="E17" s="1" t="str">
        <f>TEXT(Sales[[#This Row],[Sale_Date]],"DDDD")</f>
        <v>Monday</v>
      </c>
      <c r="F17" t="s">
        <v>13</v>
      </c>
      <c r="G17" t="s">
        <v>14</v>
      </c>
      <c r="H17" s="2">
        <v>2235.83</v>
      </c>
      <c r="I17">
        <v>48</v>
      </c>
      <c r="J17" t="s">
        <v>15</v>
      </c>
      <c r="K17" s="2">
        <v>121.19</v>
      </c>
      <c r="L17" s="2">
        <v>487.65</v>
      </c>
      <c r="M17" t="s">
        <v>29</v>
      </c>
      <c r="N17">
        <v>0.18</v>
      </c>
      <c r="O17" s="2">
        <f>(Sales[[#This Row],[Unit_Price]]-Sales[[#This Row],[Discount]]*Sales[[#This Row],[Unit_Price]])</f>
        <v>399.87299999999999</v>
      </c>
      <c r="P17" t="s">
        <v>17</v>
      </c>
      <c r="Q17" t="s">
        <v>21</v>
      </c>
      <c r="R17" t="s">
        <v>19</v>
      </c>
      <c r="U17" t="s">
        <v>53</v>
      </c>
    </row>
    <row r="18" spans="1:21" x14ac:dyDescent="0.35">
      <c r="A18">
        <v>1002</v>
      </c>
      <c r="B18" s="1">
        <v>45076</v>
      </c>
      <c r="C18" s="1" t="str">
        <f>TEXT(Sales[[#This Row],[Sale_Date]],"YYYY")</f>
        <v>2023</v>
      </c>
      <c r="D18" s="1" t="str">
        <f>TEXT(Sales[[#This Row],[Sale_Date]],"MMMM")</f>
        <v>May</v>
      </c>
      <c r="E18" s="1" t="str">
        <f>TEXT(Sales[[#This Row],[Sale_Date]],"DDDD")</f>
        <v>Tuesday</v>
      </c>
      <c r="F18" t="s">
        <v>23</v>
      </c>
      <c r="G18" t="s">
        <v>14</v>
      </c>
      <c r="H18" s="2">
        <v>6810.35</v>
      </c>
      <c r="I18">
        <v>17</v>
      </c>
      <c r="J18" t="s">
        <v>15</v>
      </c>
      <c r="K18" s="2">
        <v>4024.76</v>
      </c>
      <c r="L18" s="2">
        <v>4420.1499999999996</v>
      </c>
      <c r="M18" t="s">
        <v>16</v>
      </c>
      <c r="N18">
        <v>0.04</v>
      </c>
      <c r="O18" s="2">
        <f>(Sales[[#This Row],[Unit_Price]]-Sales[[#This Row],[Discount]]*Sales[[#This Row],[Unit_Price]])</f>
        <v>4243.3440000000001</v>
      </c>
      <c r="P18" t="s">
        <v>17</v>
      </c>
      <c r="Q18" t="s">
        <v>18</v>
      </c>
      <c r="R18" t="s">
        <v>44</v>
      </c>
      <c r="U18" t="s">
        <v>63</v>
      </c>
    </row>
    <row r="19" spans="1:21" x14ac:dyDescent="0.35">
      <c r="A19">
        <v>1088</v>
      </c>
      <c r="B19" s="1">
        <v>45203</v>
      </c>
      <c r="C19" s="1" t="str">
        <f>TEXT(Sales[[#This Row],[Sale_Date]],"YYYY")</f>
        <v>2023</v>
      </c>
      <c r="D19" s="1" t="str">
        <f>TEXT(Sales[[#This Row],[Sale_Date]],"MMMM")</f>
        <v>October</v>
      </c>
      <c r="E19" s="1" t="str">
        <f>TEXT(Sales[[#This Row],[Sale_Date]],"DDDD")</f>
        <v>Wednesday</v>
      </c>
      <c r="F19" t="s">
        <v>13</v>
      </c>
      <c r="G19" t="s">
        <v>33</v>
      </c>
      <c r="H19" s="2">
        <v>6116.75</v>
      </c>
      <c r="I19">
        <v>40</v>
      </c>
      <c r="J19" t="s">
        <v>34</v>
      </c>
      <c r="K19" s="2">
        <v>4904.93</v>
      </c>
      <c r="L19" s="2">
        <v>5034.3500000000004</v>
      </c>
      <c r="M19" t="s">
        <v>29</v>
      </c>
      <c r="N19">
        <v>0.1</v>
      </c>
      <c r="O19" s="2">
        <f>(Sales[[#This Row],[Unit_Price]]-Sales[[#This Row],[Discount]]*Sales[[#This Row],[Unit_Price]])</f>
        <v>4530.915</v>
      </c>
      <c r="P19" t="s">
        <v>30</v>
      </c>
      <c r="Q19" t="s">
        <v>21</v>
      </c>
      <c r="R19" t="s">
        <v>45</v>
      </c>
      <c r="U19" t="s">
        <v>55</v>
      </c>
    </row>
    <row r="20" spans="1:21" x14ac:dyDescent="0.35">
      <c r="A20">
        <v>1030</v>
      </c>
      <c r="B20" s="1">
        <v>45124</v>
      </c>
      <c r="C20" s="1" t="str">
        <f>TEXT(Sales[[#This Row],[Sale_Date]],"YYYY")</f>
        <v>2023</v>
      </c>
      <c r="D20" s="1" t="str">
        <f>TEXT(Sales[[#This Row],[Sale_Date]],"MMMM")</f>
        <v>July</v>
      </c>
      <c r="E20" s="1" t="str">
        <f>TEXT(Sales[[#This Row],[Sale_Date]],"DDDD")</f>
        <v>Monday</v>
      </c>
      <c r="F20" t="s">
        <v>23</v>
      </c>
      <c r="G20" t="s">
        <v>20</v>
      </c>
      <c r="H20" s="2">
        <v>3023.48</v>
      </c>
      <c r="I20">
        <v>19</v>
      </c>
      <c r="J20" t="s">
        <v>28</v>
      </c>
      <c r="K20" s="2">
        <v>3049.33</v>
      </c>
      <c r="L20" s="2">
        <v>3209.22</v>
      </c>
      <c r="M20" t="s">
        <v>16</v>
      </c>
      <c r="N20">
        <v>0.26</v>
      </c>
      <c r="O20" s="2">
        <f>(Sales[[#This Row],[Unit_Price]]-Sales[[#This Row],[Discount]]*Sales[[#This Row],[Unit_Price]])</f>
        <v>2374.8227999999999</v>
      </c>
      <c r="P20" t="s">
        <v>17</v>
      </c>
      <c r="Q20" t="s">
        <v>18</v>
      </c>
      <c r="R20" t="s">
        <v>46</v>
      </c>
      <c r="U20" t="s">
        <v>64</v>
      </c>
    </row>
    <row r="21" spans="1:21" x14ac:dyDescent="0.35">
      <c r="A21">
        <v>1038</v>
      </c>
      <c r="B21" s="1">
        <v>44996</v>
      </c>
      <c r="C21" s="1" t="str">
        <f>TEXT(Sales[[#This Row],[Sale_Date]],"YYYY")</f>
        <v>2023</v>
      </c>
      <c r="D21" s="1" t="str">
        <f>TEXT(Sales[[#This Row],[Sale_Date]],"MMMM")</f>
        <v>March</v>
      </c>
      <c r="E21" s="1" t="str">
        <f>TEXT(Sales[[#This Row],[Sale_Date]],"DDDD")</f>
        <v>Saturday</v>
      </c>
      <c r="F21" t="s">
        <v>13</v>
      </c>
      <c r="G21" t="s">
        <v>24</v>
      </c>
      <c r="H21" s="2">
        <v>1452.35</v>
      </c>
      <c r="I21">
        <v>15</v>
      </c>
      <c r="J21" t="s">
        <v>28</v>
      </c>
      <c r="K21" s="2">
        <v>2543.36</v>
      </c>
      <c r="L21" s="2">
        <v>2790.1</v>
      </c>
      <c r="M21" t="s">
        <v>16</v>
      </c>
      <c r="N21">
        <v>7.0000000000000007E-2</v>
      </c>
      <c r="O21" s="2">
        <f>(Sales[[#This Row],[Unit_Price]]-Sales[[#This Row],[Discount]]*Sales[[#This Row],[Unit_Price]])</f>
        <v>2594.7929999999997</v>
      </c>
      <c r="P21" t="s">
        <v>17</v>
      </c>
      <c r="Q21" t="s">
        <v>18</v>
      </c>
      <c r="R21" t="s">
        <v>31</v>
      </c>
      <c r="U21" t="s">
        <v>55</v>
      </c>
    </row>
    <row r="22" spans="1:21" x14ac:dyDescent="0.35">
      <c r="A22">
        <v>1002</v>
      </c>
      <c r="B22" s="1">
        <v>45038</v>
      </c>
      <c r="C22" s="1" t="str">
        <f>TEXT(Sales[[#This Row],[Sale_Date]],"YYYY")</f>
        <v>2023</v>
      </c>
      <c r="D22" s="1" t="str">
        <f>TEXT(Sales[[#This Row],[Sale_Date]],"MMMM")</f>
        <v>April</v>
      </c>
      <c r="E22" s="1" t="str">
        <f>TEXT(Sales[[#This Row],[Sale_Date]],"DDDD")</f>
        <v>Saturday</v>
      </c>
      <c r="F22" t="s">
        <v>37</v>
      </c>
      <c r="G22" t="s">
        <v>14</v>
      </c>
      <c r="H22" s="2">
        <v>6551.23</v>
      </c>
      <c r="I22">
        <v>9</v>
      </c>
      <c r="J22" t="s">
        <v>34</v>
      </c>
      <c r="K22" s="2">
        <v>4398.16</v>
      </c>
      <c r="L22" s="2">
        <v>4439.12</v>
      </c>
      <c r="M22" t="s">
        <v>29</v>
      </c>
      <c r="N22">
        <v>0.18</v>
      </c>
      <c r="O22" s="2">
        <f>(Sales[[#This Row],[Unit_Price]]-Sales[[#This Row],[Discount]]*Sales[[#This Row],[Unit_Price]])</f>
        <v>3640.0783999999999</v>
      </c>
      <c r="P22" t="s">
        <v>26</v>
      </c>
      <c r="Q22" t="s">
        <v>18</v>
      </c>
      <c r="R22" t="s">
        <v>39</v>
      </c>
      <c r="U22" t="s">
        <v>65</v>
      </c>
    </row>
    <row r="23" spans="1:21" x14ac:dyDescent="0.35">
      <c r="A23">
        <v>1064</v>
      </c>
      <c r="B23" s="1">
        <v>44930</v>
      </c>
      <c r="C23" s="1" t="str">
        <f>TEXT(Sales[[#This Row],[Sale_Date]],"YYYY")</f>
        <v>2023</v>
      </c>
      <c r="D23" s="1" t="str">
        <f>TEXT(Sales[[#This Row],[Sale_Date]],"MMMM")</f>
        <v>January</v>
      </c>
      <c r="E23" s="1" t="str">
        <f>TEXT(Sales[[#This Row],[Sale_Date]],"DDDD")</f>
        <v>Wednesday</v>
      </c>
      <c r="F23" t="s">
        <v>37</v>
      </c>
      <c r="G23" t="s">
        <v>33</v>
      </c>
      <c r="H23" s="2">
        <v>7412.11</v>
      </c>
      <c r="I23">
        <v>10</v>
      </c>
      <c r="J23" t="s">
        <v>34</v>
      </c>
      <c r="K23" s="2">
        <v>4764.96</v>
      </c>
      <c r="L23" s="2">
        <v>5074.42</v>
      </c>
      <c r="M23" t="s">
        <v>29</v>
      </c>
      <c r="N23">
        <v>0.12</v>
      </c>
      <c r="O23" s="2">
        <f>(Sales[[#This Row],[Unit_Price]]-Sales[[#This Row],[Discount]]*Sales[[#This Row],[Unit_Price]])</f>
        <v>4465.4895999999999</v>
      </c>
      <c r="P23" t="s">
        <v>17</v>
      </c>
      <c r="Q23" t="s">
        <v>18</v>
      </c>
      <c r="R23" t="s">
        <v>47</v>
      </c>
    </row>
    <row r="24" spans="1:21" x14ac:dyDescent="0.35">
      <c r="A24">
        <v>1060</v>
      </c>
      <c r="B24" s="1">
        <v>45276</v>
      </c>
      <c r="C24" s="1" t="str">
        <f>TEXT(Sales[[#This Row],[Sale_Date]],"YYYY")</f>
        <v>2023</v>
      </c>
      <c r="D24" s="1" t="str">
        <f>TEXT(Sales[[#This Row],[Sale_Date]],"MMMM")</f>
        <v>December</v>
      </c>
      <c r="E24" s="1" t="str">
        <f>TEXT(Sales[[#This Row],[Sale_Date]],"DDDD")</f>
        <v>Saturday</v>
      </c>
      <c r="F24" t="s">
        <v>37</v>
      </c>
      <c r="G24" t="s">
        <v>33</v>
      </c>
      <c r="H24" s="2">
        <v>3224.71</v>
      </c>
      <c r="I24">
        <v>44</v>
      </c>
      <c r="J24" t="s">
        <v>28</v>
      </c>
      <c r="K24" s="2">
        <v>3784.96</v>
      </c>
      <c r="L24" s="2">
        <v>4276.99</v>
      </c>
      <c r="M24" t="s">
        <v>29</v>
      </c>
      <c r="N24">
        <v>0.06</v>
      </c>
      <c r="O24" s="2">
        <f>(Sales[[#This Row],[Unit_Price]]-Sales[[#This Row],[Discount]]*Sales[[#This Row],[Unit_Price]])</f>
        <v>4020.3705999999997</v>
      </c>
      <c r="P24" t="s">
        <v>26</v>
      </c>
      <c r="Q24" t="s">
        <v>21</v>
      </c>
      <c r="R24" t="s">
        <v>47</v>
      </c>
    </row>
    <row r="25" spans="1:21" x14ac:dyDescent="0.35">
      <c r="A25">
        <v>1021</v>
      </c>
      <c r="B25" s="1">
        <v>45257</v>
      </c>
      <c r="C25" s="1" t="str">
        <f>TEXT(Sales[[#This Row],[Sale_Date]],"YYYY")</f>
        <v>2023</v>
      </c>
      <c r="D25" s="1" t="str">
        <f>TEXT(Sales[[#This Row],[Sale_Date]],"MMMM")</f>
        <v>November</v>
      </c>
      <c r="E25" s="1" t="str">
        <f>TEXT(Sales[[#This Row],[Sale_Date]],"DDDD")</f>
        <v>Monday</v>
      </c>
      <c r="F25" t="s">
        <v>41</v>
      </c>
      <c r="G25" t="s">
        <v>24</v>
      </c>
      <c r="H25" s="2">
        <v>6483.84</v>
      </c>
      <c r="I25">
        <v>31</v>
      </c>
      <c r="J25" t="s">
        <v>15</v>
      </c>
      <c r="K25" s="2">
        <v>2254.9899999999998</v>
      </c>
      <c r="L25" s="2">
        <v>2441.79</v>
      </c>
      <c r="M25" t="s">
        <v>16</v>
      </c>
      <c r="N25">
        <v>0.24</v>
      </c>
      <c r="O25" s="2">
        <f>(Sales[[#This Row],[Unit_Price]]-Sales[[#This Row],[Discount]]*Sales[[#This Row],[Unit_Price]])</f>
        <v>1855.7604000000001</v>
      </c>
      <c r="P25" t="s">
        <v>26</v>
      </c>
      <c r="Q25" t="s">
        <v>18</v>
      </c>
      <c r="R25" t="s">
        <v>42</v>
      </c>
    </row>
    <row r="26" spans="1:21" x14ac:dyDescent="0.35">
      <c r="A26">
        <v>1033</v>
      </c>
      <c r="B26" s="1">
        <v>45244</v>
      </c>
      <c r="C26" s="1" t="str">
        <f>TEXT(Sales[[#This Row],[Sale_Date]],"YYYY")</f>
        <v>2023</v>
      </c>
      <c r="D26" s="1" t="str">
        <f>TEXT(Sales[[#This Row],[Sale_Date]],"MMMM")</f>
        <v>November</v>
      </c>
      <c r="E26" s="1" t="str">
        <f>TEXT(Sales[[#This Row],[Sale_Date]],"DDDD")</f>
        <v>Tuesday</v>
      </c>
      <c r="F26" t="s">
        <v>23</v>
      </c>
      <c r="G26" t="s">
        <v>24</v>
      </c>
      <c r="H26" s="2">
        <v>4011.8</v>
      </c>
      <c r="I26">
        <v>23</v>
      </c>
      <c r="J26" t="s">
        <v>15</v>
      </c>
      <c r="K26" s="2">
        <v>2981.5</v>
      </c>
      <c r="L26" s="2">
        <v>3360.4</v>
      </c>
      <c r="M26" t="s">
        <v>16</v>
      </c>
      <c r="N26">
        <v>0.22</v>
      </c>
      <c r="O26" s="2">
        <f>(Sales[[#This Row],[Unit_Price]]-Sales[[#This Row],[Discount]]*Sales[[#This Row],[Unit_Price]])</f>
        <v>2621.1120000000001</v>
      </c>
      <c r="P26" t="s">
        <v>26</v>
      </c>
      <c r="Q26" t="s">
        <v>21</v>
      </c>
      <c r="R26" t="s">
        <v>27</v>
      </c>
    </row>
    <row r="27" spans="1:21" x14ac:dyDescent="0.35">
      <c r="A27">
        <v>1076</v>
      </c>
      <c r="B27" s="1">
        <v>45276</v>
      </c>
      <c r="C27" s="1" t="str">
        <f>TEXT(Sales[[#This Row],[Sale_Date]],"YYYY")</f>
        <v>2023</v>
      </c>
      <c r="D27" s="1" t="str">
        <f>TEXT(Sales[[#This Row],[Sale_Date]],"MMMM")</f>
        <v>December</v>
      </c>
      <c r="E27" s="1" t="str">
        <f>TEXT(Sales[[#This Row],[Sale_Date]],"DDDD")</f>
        <v>Saturday</v>
      </c>
      <c r="F27" t="s">
        <v>37</v>
      </c>
      <c r="G27" t="s">
        <v>33</v>
      </c>
      <c r="H27" s="2">
        <v>7160.75</v>
      </c>
      <c r="I27">
        <v>30</v>
      </c>
      <c r="J27" t="s">
        <v>28</v>
      </c>
      <c r="K27" s="2">
        <v>3519.63</v>
      </c>
      <c r="L27" s="2">
        <v>3774.65</v>
      </c>
      <c r="M27" t="s">
        <v>29</v>
      </c>
      <c r="N27">
        <v>0.2</v>
      </c>
      <c r="O27" s="2">
        <f>(Sales[[#This Row],[Unit_Price]]-Sales[[#This Row],[Discount]]*Sales[[#This Row],[Unit_Price]])</f>
        <v>3019.7200000000003</v>
      </c>
      <c r="P27" t="s">
        <v>30</v>
      </c>
      <c r="Q27" t="s">
        <v>21</v>
      </c>
      <c r="R27" t="s">
        <v>47</v>
      </c>
    </row>
    <row r="28" spans="1:21" x14ac:dyDescent="0.35">
      <c r="A28">
        <v>1058</v>
      </c>
      <c r="B28" s="1">
        <v>45021</v>
      </c>
      <c r="C28" s="1" t="str">
        <f>TEXT(Sales[[#This Row],[Sale_Date]],"YYYY")</f>
        <v>2023</v>
      </c>
      <c r="D28" s="1" t="str">
        <f>TEXT(Sales[[#This Row],[Sale_Date]],"MMMM")</f>
        <v>April</v>
      </c>
      <c r="E28" s="1" t="str">
        <f>TEXT(Sales[[#This Row],[Sale_Date]],"DDDD")</f>
        <v>Wednesday</v>
      </c>
      <c r="F28" t="s">
        <v>41</v>
      </c>
      <c r="G28" t="s">
        <v>14</v>
      </c>
      <c r="H28" s="2">
        <v>2072.23</v>
      </c>
      <c r="I28">
        <v>33</v>
      </c>
      <c r="J28" t="s">
        <v>15</v>
      </c>
      <c r="K28" s="2">
        <v>1011.65</v>
      </c>
      <c r="L28" s="2">
        <v>1084.28</v>
      </c>
      <c r="M28" t="s">
        <v>16</v>
      </c>
      <c r="N28">
        <v>7.0000000000000007E-2</v>
      </c>
      <c r="O28" s="2">
        <f>(Sales[[#This Row],[Unit_Price]]-Sales[[#This Row],[Discount]]*Sales[[#This Row],[Unit_Price]])</f>
        <v>1008.3804</v>
      </c>
      <c r="P28" t="s">
        <v>26</v>
      </c>
      <c r="Q28" t="s">
        <v>21</v>
      </c>
      <c r="R28" t="s">
        <v>48</v>
      </c>
    </row>
    <row r="29" spans="1:21" x14ac:dyDescent="0.35">
      <c r="A29">
        <v>1022</v>
      </c>
      <c r="B29" s="1">
        <v>45078</v>
      </c>
      <c r="C29" s="1" t="str">
        <f>TEXT(Sales[[#This Row],[Sale_Date]],"YYYY")</f>
        <v>2023</v>
      </c>
      <c r="D29" s="1" t="str">
        <f>TEXT(Sales[[#This Row],[Sale_Date]],"MMMM")</f>
        <v>June</v>
      </c>
      <c r="E29" s="1" t="str">
        <f>TEXT(Sales[[#This Row],[Sale_Date]],"DDDD")</f>
        <v>Thursday</v>
      </c>
      <c r="F29" t="s">
        <v>23</v>
      </c>
      <c r="G29" t="s">
        <v>33</v>
      </c>
      <c r="H29" s="2">
        <v>8913.1299999999992</v>
      </c>
      <c r="I29">
        <v>9</v>
      </c>
      <c r="J29" t="s">
        <v>34</v>
      </c>
      <c r="K29" s="2">
        <v>2263.65</v>
      </c>
      <c r="L29" s="2">
        <v>2558.9499999999998</v>
      </c>
      <c r="M29" t="s">
        <v>29</v>
      </c>
      <c r="N29">
        <v>0.03</v>
      </c>
      <c r="O29" s="2">
        <f>(Sales[[#This Row],[Unit_Price]]-Sales[[#This Row],[Discount]]*Sales[[#This Row],[Unit_Price]])</f>
        <v>2482.1814999999997</v>
      </c>
      <c r="P29" t="s">
        <v>17</v>
      </c>
      <c r="Q29" t="s">
        <v>18</v>
      </c>
      <c r="R29" t="s">
        <v>49</v>
      </c>
    </row>
    <row r="30" spans="1:21" x14ac:dyDescent="0.35">
      <c r="A30">
        <v>1089</v>
      </c>
      <c r="B30" s="1">
        <v>45237</v>
      </c>
      <c r="C30" s="1" t="str">
        <f>TEXT(Sales[[#This Row],[Sale_Date]],"YYYY")</f>
        <v>2023</v>
      </c>
      <c r="D30" s="1" t="str">
        <f>TEXT(Sales[[#This Row],[Sale_Date]],"MMMM")</f>
        <v>November</v>
      </c>
      <c r="E30" s="1" t="str">
        <f>TEXT(Sales[[#This Row],[Sale_Date]],"DDDD")</f>
        <v>Tuesday</v>
      </c>
      <c r="F30" t="s">
        <v>13</v>
      </c>
      <c r="G30" t="s">
        <v>20</v>
      </c>
      <c r="H30" s="2">
        <v>2945.36</v>
      </c>
      <c r="I30">
        <v>47</v>
      </c>
      <c r="J30" t="s">
        <v>15</v>
      </c>
      <c r="K30" s="2">
        <v>4157.62</v>
      </c>
      <c r="L30" s="2">
        <v>4314.5599999999904</v>
      </c>
      <c r="M30" t="s">
        <v>29</v>
      </c>
      <c r="N30">
        <v>0.17</v>
      </c>
      <c r="O30" s="2">
        <f>(Sales[[#This Row],[Unit_Price]]-Sales[[#This Row],[Discount]]*Sales[[#This Row],[Unit_Price]])</f>
        <v>3581.0847999999919</v>
      </c>
      <c r="P30" t="s">
        <v>26</v>
      </c>
      <c r="Q30" t="s">
        <v>21</v>
      </c>
      <c r="R30" t="s">
        <v>22</v>
      </c>
    </row>
    <row r="31" spans="1:21" x14ac:dyDescent="0.35">
      <c r="A31">
        <v>1049</v>
      </c>
      <c r="B31" s="1">
        <v>45063</v>
      </c>
      <c r="C31" s="1" t="str">
        <f>TEXT(Sales[[#This Row],[Sale_Date]],"YYYY")</f>
        <v>2023</v>
      </c>
      <c r="D31" s="1" t="str">
        <f>TEXT(Sales[[#This Row],[Sale_Date]],"MMMM")</f>
        <v>May</v>
      </c>
      <c r="E31" s="1" t="str">
        <f>TEXT(Sales[[#This Row],[Sale_Date]],"DDDD")</f>
        <v>Wednesday</v>
      </c>
      <c r="F31" t="s">
        <v>41</v>
      </c>
      <c r="G31" t="s">
        <v>20</v>
      </c>
      <c r="H31" s="2">
        <v>3741.08</v>
      </c>
      <c r="I31">
        <v>1</v>
      </c>
      <c r="J31" t="s">
        <v>15</v>
      </c>
      <c r="K31" s="2">
        <v>3290.89</v>
      </c>
      <c r="L31" s="2">
        <v>3317.75</v>
      </c>
      <c r="M31" t="s">
        <v>16</v>
      </c>
      <c r="N31">
        <v>0.17</v>
      </c>
      <c r="O31" s="2">
        <f>(Sales[[#This Row],[Unit_Price]]-Sales[[#This Row],[Discount]]*Sales[[#This Row],[Unit_Price]])</f>
        <v>2753.7325000000001</v>
      </c>
      <c r="P31" t="s">
        <v>26</v>
      </c>
      <c r="Q31" t="s">
        <v>18</v>
      </c>
      <c r="R31" t="s">
        <v>50</v>
      </c>
    </row>
    <row r="32" spans="1:21" x14ac:dyDescent="0.35">
      <c r="A32">
        <v>1091</v>
      </c>
      <c r="B32" s="1">
        <v>45173</v>
      </c>
      <c r="C32" s="1" t="str">
        <f>TEXT(Sales[[#This Row],[Sale_Date]],"YYYY")</f>
        <v>2023</v>
      </c>
      <c r="D32" s="1" t="str">
        <f>TEXT(Sales[[#This Row],[Sale_Date]],"MMMM")</f>
        <v>September</v>
      </c>
      <c r="E32" s="1" t="str">
        <f>TEXT(Sales[[#This Row],[Sale_Date]],"DDDD")</f>
        <v>Monday</v>
      </c>
      <c r="F32" t="s">
        <v>32</v>
      </c>
      <c r="G32" t="s">
        <v>24</v>
      </c>
      <c r="H32" s="2">
        <v>675.11</v>
      </c>
      <c r="I32">
        <v>44</v>
      </c>
      <c r="J32" t="s">
        <v>25</v>
      </c>
      <c r="K32" s="2">
        <v>2085.46</v>
      </c>
      <c r="L32" s="2">
        <v>2406.58</v>
      </c>
      <c r="M32" t="s">
        <v>16</v>
      </c>
      <c r="N32">
        <v>0.06</v>
      </c>
      <c r="O32" s="2">
        <f>(Sales[[#This Row],[Unit_Price]]-Sales[[#This Row],[Discount]]*Sales[[#This Row],[Unit_Price]])</f>
        <v>2262.1851999999999</v>
      </c>
      <c r="P32" t="s">
        <v>26</v>
      </c>
      <c r="Q32" t="s">
        <v>21</v>
      </c>
      <c r="R32" t="s">
        <v>43</v>
      </c>
    </row>
    <row r="33" spans="1:18" x14ac:dyDescent="0.35">
      <c r="A33">
        <v>1059</v>
      </c>
      <c r="B33" s="1">
        <v>45169</v>
      </c>
      <c r="C33" s="1" t="str">
        <f>TEXT(Sales[[#This Row],[Sale_Date]],"YYYY")</f>
        <v>2023</v>
      </c>
      <c r="D33" s="1" t="str">
        <f>TEXT(Sales[[#This Row],[Sale_Date]],"MMMM")</f>
        <v>August</v>
      </c>
      <c r="E33" s="1" t="str">
        <f>TEXT(Sales[[#This Row],[Sale_Date]],"DDDD")</f>
        <v>Thursday</v>
      </c>
      <c r="F33" t="s">
        <v>41</v>
      </c>
      <c r="G33" t="s">
        <v>14</v>
      </c>
      <c r="H33" s="2">
        <v>1203.97</v>
      </c>
      <c r="I33">
        <v>35</v>
      </c>
      <c r="J33" t="s">
        <v>25</v>
      </c>
      <c r="K33" s="2">
        <v>3333.64</v>
      </c>
      <c r="L33" s="2">
        <v>3764.52</v>
      </c>
      <c r="M33" t="s">
        <v>16</v>
      </c>
      <c r="N33">
        <v>0.02</v>
      </c>
      <c r="O33" s="2">
        <f>(Sales[[#This Row],[Unit_Price]]-Sales[[#This Row],[Discount]]*Sales[[#This Row],[Unit_Price]])</f>
        <v>3689.2296000000001</v>
      </c>
      <c r="P33" t="s">
        <v>30</v>
      </c>
      <c r="Q33" t="s">
        <v>18</v>
      </c>
      <c r="R33" t="s">
        <v>48</v>
      </c>
    </row>
    <row r="34" spans="1:18" x14ac:dyDescent="0.35">
      <c r="A34">
        <v>1042</v>
      </c>
      <c r="B34" s="1">
        <v>44957</v>
      </c>
      <c r="C34" s="1" t="str">
        <f>TEXT(Sales[[#This Row],[Sale_Date]],"YYYY")</f>
        <v>2023</v>
      </c>
      <c r="D34" s="1" t="str">
        <f>TEXT(Sales[[#This Row],[Sale_Date]],"MMMM")</f>
        <v>January</v>
      </c>
      <c r="E34" s="1" t="str">
        <f>TEXT(Sales[[#This Row],[Sale_Date]],"DDDD")</f>
        <v>Tuesday</v>
      </c>
      <c r="F34" t="s">
        <v>41</v>
      </c>
      <c r="G34" t="s">
        <v>14</v>
      </c>
      <c r="H34" s="2">
        <v>5207.03</v>
      </c>
      <c r="I34">
        <v>11</v>
      </c>
      <c r="J34" t="s">
        <v>25</v>
      </c>
      <c r="K34" s="2">
        <v>635.20000000000005</v>
      </c>
      <c r="L34" s="2">
        <v>814.14</v>
      </c>
      <c r="M34" t="s">
        <v>16</v>
      </c>
      <c r="N34">
        <v>0.02</v>
      </c>
      <c r="O34" s="2">
        <f>(Sales[[#This Row],[Unit_Price]]-Sales[[#This Row],[Discount]]*Sales[[#This Row],[Unit_Price]])</f>
        <v>797.85720000000003</v>
      </c>
      <c r="P34" t="s">
        <v>17</v>
      </c>
      <c r="Q34" t="s">
        <v>18</v>
      </c>
      <c r="R34" t="s">
        <v>48</v>
      </c>
    </row>
    <row r="35" spans="1:18" x14ac:dyDescent="0.35">
      <c r="A35">
        <v>1092</v>
      </c>
      <c r="B35" s="1">
        <v>44966</v>
      </c>
      <c r="C35" s="1" t="str">
        <f>TEXT(Sales[[#This Row],[Sale_Date]],"YYYY")</f>
        <v>2023</v>
      </c>
      <c r="D35" s="1" t="str">
        <f>TEXT(Sales[[#This Row],[Sale_Date]],"MMMM")</f>
        <v>February</v>
      </c>
      <c r="E35" s="1" t="str">
        <f>TEXT(Sales[[#This Row],[Sale_Date]],"DDDD")</f>
        <v>Thursday</v>
      </c>
      <c r="F35" t="s">
        <v>23</v>
      </c>
      <c r="G35" t="s">
        <v>20</v>
      </c>
      <c r="H35" s="2">
        <v>2749.17</v>
      </c>
      <c r="I35">
        <v>34</v>
      </c>
      <c r="J35" t="s">
        <v>15</v>
      </c>
      <c r="K35" s="2">
        <v>2037.41</v>
      </c>
      <c r="L35" s="2">
        <v>2238.65</v>
      </c>
      <c r="M35" t="s">
        <v>29</v>
      </c>
      <c r="N35">
        <v>0.3</v>
      </c>
      <c r="O35" s="2">
        <f>(Sales[[#This Row],[Unit_Price]]-Sales[[#This Row],[Discount]]*Sales[[#This Row],[Unit_Price]])</f>
        <v>1567.0550000000001</v>
      </c>
      <c r="P35" t="s">
        <v>30</v>
      </c>
      <c r="Q35" t="s">
        <v>18</v>
      </c>
      <c r="R35" t="s">
        <v>46</v>
      </c>
    </row>
    <row r="36" spans="1:18" x14ac:dyDescent="0.35">
      <c r="A36">
        <v>1060</v>
      </c>
      <c r="B36" s="1">
        <v>45155</v>
      </c>
      <c r="C36" s="1" t="str">
        <f>TEXT(Sales[[#This Row],[Sale_Date]],"YYYY")</f>
        <v>2023</v>
      </c>
      <c r="D36" s="1" t="str">
        <f>TEXT(Sales[[#This Row],[Sale_Date]],"MMMM")</f>
        <v>August</v>
      </c>
      <c r="E36" s="1" t="str">
        <f>TEXT(Sales[[#This Row],[Sale_Date]],"DDDD")</f>
        <v>Thursday</v>
      </c>
      <c r="F36" t="s">
        <v>13</v>
      </c>
      <c r="G36" t="s">
        <v>33</v>
      </c>
      <c r="H36" s="2">
        <v>8371.25</v>
      </c>
      <c r="I36">
        <v>16</v>
      </c>
      <c r="J36" t="s">
        <v>28</v>
      </c>
      <c r="K36" s="2">
        <v>3975.99</v>
      </c>
      <c r="L36" s="2">
        <v>4422.59</v>
      </c>
      <c r="M36" t="s">
        <v>29</v>
      </c>
      <c r="N36">
        <v>0.24</v>
      </c>
      <c r="O36" s="2">
        <f>(Sales[[#This Row],[Unit_Price]]-Sales[[#This Row],[Discount]]*Sales[[#This Row],[Unit_Price]])</f>
        <v>3361.1684000000005</v>
      </c>
      <c r="P36" t="s">
        <v>17</v>
      </c>
      <c r="Q36" t="s">
        <v>18</v>
      </c>
      <c r="R36" t="s">
        <v>45</v>
      </c>
    </row>
    <row r="37" spans="1:18" x14ac:dyDescent="0.35">
      <c r="A37">
        <v>1080</v>
      </c>
      <c r="B37" s="1">
        <v>44962</v>
      </c>
      <c r="C37" s="1" t="str">
        <f>TEXT(Sales[[#This Row],[Sale_Date]],"YYYY")</f>
        <v>2023</v>
      </c>
      <c r="D37" s="1" t="str">
        <f>TEXT(Sales[[#This Row],[Sale_Date]],"MMMM")</f>
        <v>February</v>
      </c>
      <c r="E37" s="1" t="str">
        <f>TEXT(Sales[[#This Row],[Sale_Date]],"DDDD")</f>
        <v>Sunday</v>
      </c>
      <c r="F37" t="s">
        <v>32</v>
      </c>
      <c r="G37" t="s">
        <v>24</v>
      </c>
      <c r="H37" s="2">
        <v>245.46</v>
      </c>
      <c r="I37">
        <v>9</v>
      </c>
      <c r="J37" t="s">
        <v>34</v>
      </c>
      <c r="K37" s="2">
        <v>1141.52</v>
      </c>
      <c r="L37" s="2">
        <v>1550.19</v>
      </c>
      <c r="M37" t="s">
        <v>29</v>
      </c>
      <c r="N37">
        <v>0.28000000000000003</v>
      </c>
      <c r="O37" s="2">
        <f>(Sales[[#This Row],[Unit_Price]]-Sales[[#This Row],[Discount]]*Sales[[#This Row],[Unit_Price]])</f>
        <v>1116.1368</v>
      </c>
      <c r="P37" t="s">
        <v>30</v>
      </c>
      <c r="Q37" t="s">
        <v>21</v>
      </c>
      <c r="R37" t="s">
        <v>43</v>
      </c>
    </row>
    <row r="38" spans="1:18" x14ac:dyDescent="0.35">
      <c r="A38">
        <v>1015</v>
      </c>
      <c r="B38" s="1">
        <v>45149</v>
      </c>
      <c r="C38" s="1" t="str">
        <f>TEXT(Sales[[#This Row],[Sale_Date]],"YYYY")</f>
        <v>2023</v>
      </c>
      <c r="D38" s="1" t="str">
        <f>TEXT(Sales[[#This Row],[Sale_Date]],"MMMM")</f>
        <v>August</v>
      </c>
      <c r="E38" s="1" t="str">
        <f>TEXT(Sales[[#This Row],[Sale_Date]],"DDDD")</f>
        <v>Friday</v>
      </c>
      <c r="F38" t="s">
        <v>37</v>
      </c>
      <c r="G38" t="s">
        <v>33</v>
      </c>
      <c r="H38" s="2">
        <v>3853.03</v>
      </c>
      <c r="I38">
        <v>32</v>
      </c>
      <c r="J38" t="s">
        <v>15</v>
      </c>
      <c r="K38" s="2">
        <v>970.51</v>
      </c>
      <c r="L38" s="2">
        <v>1330.84</v>
      </c>
      <c r="M38" t="s">
        <v>16</v>
      </c>
      <c r="N38">
        <v>0.06</v>
      </c>
      <c r="O38" s="2">
        <f>(Sales[[#This Row],[Unit_Price]]-Sales[[#This Row],[Discount]]*Sales[[#This Row],[Unit_Price]])</f>
        <v>1250.9895999999999</v>
      </c>
      <c r="P38" t="s">
        <v>17</v>
      </c>
      <c r="Q38" t="s">
        <v>21</v>
      </c>
      <c r="R38" t="s">
        <v>47</v>
      </c>
    </row>
    <row r="39" spans="1:18" x14ac:dyDescent="0.35">
      <c r="A39">
        <v>1062</v>
      </c>
      <c r="B39" s="1">
        <v>44932</v>
      </c>
      <c r="C39" s="1" t="str">
        <f>TEXT(Sales[[#This Row],[Sale_Date]],"YYYY")</f>
        <v>2023</v>
      </c>
      <c r="D39" s="1" t="str">
        <f>TEXT(Sales[[#This Row],[Sale_Date]],"MMMM")</f>
        <v>January</v>
      </c>
      <c r="E39" s="1" t="str">
        <f>TEXT(Sales[[#This Row],[Sale_Date]],"DDDD")</f>
        <v>Friday</v>
      </c>
      <c r="F39" t="s">
        <v>37</v>
      </c>
      <c r="G39" t="s">
        <v>33</v>
      </c>
      <c r="H39" s="2">
        <v>3439.72</v>
      </c>
      <c r="I39">
        <v>15</v>
      </c>
      <c r="J39" t="s">
        <v>28</v>
      </c>
      <c r="K39" s="2">
        <v>4756.55</v>
      </c>
      <c r="L39" s="2">
        <v>4888.46</v>
      </c>
      <c r="M39" t="s">
        <v>29</v>
      </c>
      <c r="N39">
        <v>0.28999999999999998</v>
      </c>
      <c r="O39" s="2">
        <f>(Sales[[#This Row],[Unit_Price]]-Sales[[#This Row],[Discount]]*Sales[[#This Row],[Unit_Price]])</f>
        <v>3470.8065999999999</v>
      </c>
      <c r="P39" t="s">
        <v>30</v>
      </c>
      <c r="Q39" t="s">
        <v>18</v>
      </c>
      <c r="R39" t="s">
        <v>47</v>
      </c>
    </row>
    <row r="40" spans="1:18" x14ac:dyDescent="0.35">
      <c r="A40">
        <v>1062</v>
      </c>
      <c r="B40" s="1">
        <v>45248</v>
      </c>
      <c r="C40" s="1" t="str">
        <f>TEXT(Sales[[#This Row],[Sale_Date]],"YYYY")</f>
        <v>2023</v>
      </c>
      <c r="D40" s="1" t="str">
        <f>TEXT(Sales[[#This Row],[Sale_Date]],"MMMM")</f>
        <v>November</v>
      </c>
      <c r="E40" s="1" t="str">
        <f>TEXT(Sales[[#This Row],[Sale_Date]],"DDDD")</f>
        <v>Saturday</v>
      </c>
      <c r="F40" t="s">
        <v>41</v>
      </c>
      <c r="G40" t="s">
        <v>33</v>
      </c>
      <c r="H40" s="2">
        <v>291.33999999999997</v>
      </c>
      <c r="I40">
        <v>12</v>
      </c>
      <c r="J40" t="s">
        <v>15</v>
      </c>
      <c r="K40" s="2">
        <v>1088.99</v>
      </c>
      <c r="L40" s="2">
        <v>1545</v>
      </c>
      <c r="M40" t="s">
        <v>16</v>
      </c>
      <c r="N40">
        <v>0.04</v>
      </c>
      <c r="O40" s="2">
        <f>(Sales[[#This Row],[Unit_Price]]-Sales[[#This Row],[Discount]]*Sales[[#This Row],[Unit_Price]])</f>
        <v>1483.2</v>
      </c>
      <c r="P40" t="s">
        <v>26</v>
      </c>
      <c r="Q40" t="s">
        <v>21</v>
      </c>
      <c r="R40" t="s">
        <v>51</v>
      </c>
    </row>
    <row r="41" spans="1:18" x14ac:dyDescent="0.35">
      <c r="A41">
        <v>1047</v>
      </c>
      <c r="B41" s="1">
        <v>45146</v>
      </c>
      <c r="C41" s="1" t="str">
        <f>TEXT(Sales[[#This Row],[Sale_Date]],"YYYY")</f>
        <v>2023</v>
      </c>
      <c r="D41" s="1" t="str">
        <f>TEXT(Sales[[#This Row],[Sale_Date]],"MMMM")</f>
        <v>August</v>
      </c>
      <c r="E41" s="1" t="str">
        <f>TEXT(Sales[[#This Row],[Sale_Date]],"DDDD")</f>
        <v>Tuesday</v>
      </c>
      <c r="F41" t="s">
        <v>23</v>
      </c>
      <c r="G41" t="s">
        <v>14</v>
      </c>
      <c r="H41" s="2">
        <v>1331.25</v>
      </c>
      <c r="I41">
        <v>33</v>
      </c>
      <c r="J41" t="s">
        <v>34</v>
      </c>
      <c r="K41" s="2">
        <v>1341.55</v>
      </c>
      <c r="L41" s="2">
        <v>1427.21</v>
      </c>
      <c r="M41" t="s">
        <v>16</v>
      </c>
      <c r="N41">
        <v>0.15</v>
      </c>
      <c r="O41" s="2">
        <f>(Sales[[#This Row],[Unit_Price]]-Sales[[#This Row],[Discount]]*Sales[[#This Row],[Unit_Price]])</f>
        <v>1213.1285</v>
      </c>
      <c r="P41" t="s">
        <v>30</v>
      </c>
      <c r="Q41" t="s">
        <v>18</v>
      </c>
      <c r="R41" t="s">
        <v>44</v>
      </c>
    </row>
    <row r="42" spans="1:18" x14ac:dyDescent="0.35">
      <c r="A42">
        <v>1062</v>
      </c>
      <c r="B42" s="1">
        <v>45001</v>
      </c>
      <c r="C42" s="1" t="str">
        <f>TEXT(Sales[[#This Row],[Sale_Date]],"YYYY")</f>
        <v>2023</v>
      </c>
      <c r="D42" s="1" t="str">
        <f>TEXT(Sales[[#This Row],[Sale_Date]],"MMMM")</f>
        <v>March</v>
      </c>
      <c r="E42" s="1" t="str">
        <f>TEXT(Sales[[#This Row],[Sale_Date]],"DDDD")</f>
        <v>Thursday</v>
      </c>
      <c r="F42" t="s">
        <v>23</v>
      </c>
      <c r="G42" t="s">
        <v>20</v>
      </c>
      <c r="H42" s="2">
        <v>4195.0600000000004</v>
      </c>
      <c r="I42">
        <v>45</v>
      </c>
      <c r="J42" t="s">
        <v>15</v>
      </c>
      <c r="K42" s="2">
        <v>4849.6000000000004</v>
      </c>
      <c r="L42" s="2">
        <v>5166.72</v>
      </c>
      <c r="M42" t="s">
        <v>16</v>
      </c>
      <c r="N42">
        <v>0.25</v>
      </c>
      <c r="O42" s="2">
        <f>(Sales[[#This Row],[Unit_Price]]-Sales[[#This Row],[Discount]]*Sales[[#This Row],[Unit_Price]])</f>
        <v>3875.04</v>
      </c>
      <c r="P42" t="s">
        <v>30</v>
      </c>
      <c r="Q42" t="s">
        <v>18</v>
      </c>
      <c r="R42" t="s">
        <v>46</v>
      </c>
    </row>
    <row r="43" spans="1:18" x14ac:dyDescent="0.35">
      <c r="A43">
        <v>1051</v>
      </c>
      <c r="B43" s="1">
        <v>44930</v>
      </c>
      <c r="C43" s="1" t="str">
        <f>TEXT(Sales[[#This Row],[Sale_Date]],"YYYY")</f>
        <v>2023</v>
      </c>
      <c r="D43" s="1" t="str">
        <f>TEXT(Sales[[#This Row],[Sale_Date]],"MMMM")</f>
        <v>January</v>
      </c>
      <c r="E43" s="1" t="str">
        <f>TEXT(Sales[[#This Row],[Sale_Date]],"DDDD")</f>
        <v>Wednesday</v>
      </c>
      <c r="F43" t="s">
        <v>37</v>
      </c>
      <c r="G43" t="s">
        <v>14</v>
      </c>
      <c r="H43" s="2">
        <v>4979.3599999999997</v>
      </c>
      <c r="I43">
        <v>14</v>
      </c>
      <c r="J43" t="s">
        <v>34</v>
      </c>
      <c r="K43" s="2">
        <v>3686.81</v>
      </c>
      <c r="L43" s="2">
        <v>3710.92</v>
      </c>
      <c r="M43" t="s">
        <v>29</v>
      </c>
      <c r="N43">
        <v>0.1</v>
      </c>
      <c r="O43" s="2">
        <f>(Sales[[#This Row],[Unit_Price]]-Sales[[#This Row],[Discount]]*Sales[[#This Row],[Unit_Price]])</f>
        <v>3339.828</v>
      </c>
      <c r="P43" t="s">
        <v>26</v>
      </c>
      <c r="Q43" t="s">
        <v>21</v>
      </c>
      <c r="R43" t="s">
        <v>39</v>
      </c>
    </row>
    <row r="44" spans="1:18" x14ac:dyDescent="0.35">
      <c r="A44">
        <v>1055</v>
      </c>
      <c r="B44" s="1">
        <v>45261</v>
      </c>
      <c r="C44" s="1" t="str">
        <f>TEXT(Sales[[#This Row],[Sale_Date]],"YYYY")</f>
        <v>2023</v>
      </c>
      <c r="D44" s="1" t="str">
        <f>TEXT(Sales[[#This Row],[Sale_Date]],"MMMM")</f>
        <v>December</v>
      </c>
      <c r="E44" s="1" t="str">
        <f>TEXT(Sales[[#This Row],[Sale_Date]],"DDDD")</f>
        <v>Friday</v>
      </c>
      <c r="F44" t="s">
        <v>32</v>
      </c>
      <c r="G44" t="s">
        <v>20</v>
      </c>
      <c r="H44" s="2">
        <v>4102.47</v>
      </c>
      <c r="I44">
        <v>8</v>
      </c>
      <c r="J44" t="s">
        <v>15</v>
      </c>
      <c r="K44" s="2">
        <v>3513</v>
      </c>
      <c r="L44" s="2">
        <v>3838.42</v>
      </c>
      <c r="M44" t="s">
        <v>16</v>
      </c>
      <c r="N44">
        <v>0.13</v>
      </c>
      <c r="O44" s="2">
        <f>(Sales[[#This Row],[Unit_Price]]-Sales[[#This Row],[Discount]]*Sales[[#This Row],[Unit_Price]])</f>
        <v>3339.4254000000001</v>
      </c>
      <c r="P44" t="s">
        <v>26</v>
      </c>
      <c r="Q44" t="s">
        <v>18</v>
      </c>
      <c r="R44" t="s">
        <v>36</v>
      </c>
    </row>
    <row r="45" spans="1:18" x14ac:dyDescent="0.35">
      <c r="A45">
        <v>1064</v>
      </c>
      <c r="B45" s="1">
        <v>45060</v>
      </c>
      <c r="C45" s="1" t="str">
        <f>TEXT(Sales[[#This Row],[Sale_Date]],"YYYY")</f>
        <v>2023</v>
      </c>
      <c r="D45" s="1" t="str">
        <f>TEXT(Sales[[#This Row],[Sale_Date]],"MMMM")</f>
        <v>May</v>
      </c>
      <c r="E45" s="1" t="str">
        <f>TEXT(Sales[[#This Row],[Sale_Date]],"DDDD")</f>
        <v>Sunday</v>
      </c>
      <c r="F45" t="s">
        <v>13</v>
      </c>
      <c r="G45" t="s">
        <v>24</v>
      </c>
      <c r="H45" s="2">
        <v>5356.28</v>
      </c>
      <c r="I45">
        <v>8</v>
      </c>
      <c r="J45" t="s">
        <v>34</v>
      </c>
      <c r="K45" s="2">
        <v>4271.99</v>
      </c>
      <c r="L45" s="2">
        <v>4417.79</v>
      </c>
      <c r="M45" t="s">
        <v>16</v>
      </c>
      <c r="N45">
        <v>0.04</v>
      </c>
      <c r="O45" s="2">
        <f>(Sales[[#This Row],[Unit_Price]]-Sales[[#This Row],[Discount]]*Sales[[#This Row],[Unit_Price]])</f>
        <v>4241.0784000000003</v>
      </c>
      <c r="P45" t="s">
        <v>17</v>
      </c>
      <c r="Q45" t="s">
        <v>18</v>
      </c>
      <c r="R45" t="s">
        <v>31</v>
      </c>
    </row>
    <row r="46" spans="1:18" x14ac:dyDescent="0.35">
      <c r="A46">
        <v>1003</v>
      </c>
      <c r="B46" s="1">
        <v>45044</v>
      </c>
      <c r="C46" s="1" t="str">
        <f>TEXT(Sales[[#This Row],[Sale_Date]],"YYYY")</f>
        <v>2023</v>
      </c>
      <c r="D46" s="1" t="str">
        <f>TEXT(Sales[[#This Row],[Sale_Date]],"MMMM")</f>
        <v>April</v>
      </c>
      <c r="E46" s="1" t="str">
        <f>TEXT(Sales[[#This Row],[Sale_Date]],"DDDD")</f>
        <v>Friday</v>
      </c>
      <c r="F46" t="s">
        <v>32</v>
      </c>
      <c r="G46" t="s">
        <v>24</v>
      </c>
      <c r="H46" s="2">
        <v>5991.8</v>
      </c>
      <c r="I46">
        <v>27</v>
      </c>
      <c r="J46" t="s">
        <v>15</v>
      </c>
      <c r="K46" s="2">
        <v>623.32000000000005</v>
      </c>
      <c r="L46" s="2">
        <v>853.66</v>
      </c>
      <c r="M46" t="s">
        <v>16</v>
      </c>
      <c r="N46">
        <v>0.04</v>
      </c>
      <c r="O46" s="2">
        <f>(Sales[[#This Row],[Unit_Price]]-Sales[[#This Row],[Discount]]*Sales[[#This Row],[Unit_Price]])</f>
        <v>819.5136</v>
      </c>
      <c r="P46" t="s">
        <v>17</v>
      </c>
      <c r="Q46" t="s">
        <v>18</v>
      </c>
      <c r="R46" t="s">
        <v>43</v>
      </c>
    </row>
    <row r="47" spans="1:18" x14ac:dyDescent="0.35">
      <c r="A47">
        <v>1051</v>
      </c>
      <c r="B47" s="1">
        <v>45020</v>
      </c>
      <c r="C47" s="1" t="str">
        <f>TEXT(Sales[[#This Row],[Sale_Date]],"YYYY")</f>
        <v>2023</v>
      </c>
      <c r="D47" s="1" t="str">
        <f>TEXT(Sales[[#This Row],[Sale_Date]],"MMMM")</f>
        <v>April</v>
      </c>
      <c r="E47" s="1" t="str">
        <f>TEXT(Sales[[#This Row],[Sale_Date]],"DDDD")</f>
        <v>Tuesday</v>
      </c>
      <c r="F47" t="s">
        <v>13</v>
      </c>
      <c r="G47" t="s">
        <v>33</v>
      </c>
      <c r="H47" s="2">
        <v>198.25</v>
      </c>
      <c r="I47">
        <v>12</v>
      </c>
      <c r="J47" t="s">
        <v>34</v>
      </c>
      <c r="K47" s="2">
        <v>3544.48</v>
      </c>
      <c r="L47" s="2">
        <v>3723.66</v>
      </c>
      <c r="M47" t="s">
        <v>16</v>
      </c>
      <c r="N47">
        <v>0.19</v>
      </c>
      <c r="O47" s="2">
        <f>(Sales[[#This Row],[Unit_Price]]-Sales[[#This Row],[Discount]]*Sales[[#This Row],[Unit_Price]])</f>
        <v>3016.1646000000001</v>
      </c>
      <c r="P47" t="s">
        <v>17</v>
      </c>
      <c r="Q47" t="s">
        <v>18</v>
      </c>
      <c r="R47" t="s">
        <v>45</v>
      </c>
    </row>
    <row r="48" spans="1:18" x14ac:dyDescent="0.35">
      <c r="A48">
        <v>1007</v>
      </c>
      <c r="B48" s="1">
        <v>44988</v>
      </c>
      <c r="C48" s="1" t="str">
        <f>TEXT(Sales[[#This Row],[Sale_Date]],"YYYY")</f>
        <v>2023</v>
      </c>
      <c r="D48" s="1" t="str">
        <f>TEXT(Sales[[#This Row],[Sale_Date]],"MMMM")</f>
        <v>March</v>
      </c>
      <c r="E48" s="1" t="str">
        <f>TEXT(Sales[[#This Row],[Sale_Date]],"DDDD")</f>
        <v>Friday</v>
      </c>
      <c r="F48" t="s">
        <v>37</v>
      </c>
      <c r="G48" t="s">
        <v>20</v>
      </c>
      <c r="H48" s="2">
        <v>4694.54</v>
      </c>
      <c r="I48">
        <v>1</v>
      </c>
      <c r="J48" t="s">
        <v>25</v>
      </c>
      <c r="K48" s="2">
        <v>2543.2600000000002</v>
      </c>
      <c r="L48" s="2">
        <v>2637.91</v>
      </c>
      <c r="M48" t="s">
        <v>16</v>
      </c>
      <c r="N48">
        <v>0.2</v>
      </c>
      <c r="O48" s="2">
        <f>(Sales[[#This Row],[Unit_Price]]-Sales[[#This Row],[Discount]]*Sales[[#This Row],[Unit_Price]])</f>
        <v>2110.328</v>
      </c>
      <c r="P48" t="s">
        <v>30</v>
      </c>
      <c r="Q48" t="s">
        <v>18</v>
      </c>
      <c r="R48" t="s">
        <v>40</v>
      </c>
    </row>
    <row r="49" spans="1:18" x14ac:dyDescent="0.35">
      <c r="A49">
        <v>1021</v>
      </c>
      <c r="B49" s="1">
        <v>45120</v>
      </c>
      <c r="C49" s="1" t="str">
        <f>TEXT(Sales[[#This Row],[Sale_Date]],"YYYY")</f>
        <v>2023</v>
      </c>
      <c r="D49" s="1" t="str">
        <f>TEXT(Sales[[#This Row],[Sale_Date]],"MMMM")</f>
        <v>July</v>
      </c>
      <c r="E49" s="1" t="str">
        <f>TEXT(Sales[[#This Row],[Sale_Date]],"DDDD")</f>
        <v>Thursday</v>
      </c>
      <c r="F49" t="s">
        <v>13</v>
      </c>
      <c r="G49" t="s">
        <v>20</v>
      </c>
      <c r="H49" s="2">
        <v>9638.64</v>
      </c>
      <c r="I49">
        <v>43</v>
      </c>
      <c r="J49" t="s">
        <v>15</v>
      </c>
      <c r="K49" s="2">
        <v>4154.3</v>
      </c>
      <c r="L49" s="2">
        <v>4469.07</v>
      </c>
      <c r="M49" t="s">
        <v>16</v>
      </c>
      <c r="N49">
        <v>0.23</v>
      </c>
      <c r="O49" s="2">
        <f>(Sales[[#This Row],[Unit_Price]]-Sales[[#This Row],[Discount]]*Sales[[#This Row],[Unit_Price]])</f>
        <v>3441.1839</v>
      </c>
      <c r="P49" t="s">
        <v>17</v>
      </c>
      <c r="Q49" t="s">
        <v>21</v>
      </c>
      <c r="R49" t="s">
        <v>22</v>
      </c>
    </row>
    <row r="50" spans="1:18" x14ac:dyDescent="0.35">
      <c r="A50">
        <v>1073</v>
      </c>
      <c r="B50" s="1">
        <v>45261</v>
      </c>
      <c r="C50" s="1" t="str">
        <f>TEXT(Sales[[#This Row],[Sale_Date]],"YYYY")</f>
        <v>2023</v>
      </c>
      <c r="D50" s="1" t="str">
        <f>TEXT(Sales[[#This Row],[Sale_Date]],"MMMM")</f>
        <v>December</v>
      </c>
      <c r="E50" s="1" t="str">
        <f>TEXT(Sales[[#This Row],[Sale_Date]],"DDDD")</f>
        <v>Friday</v>
      </c>
      <c r="F50" t="s">
        <v>23</v>
      </c>
      <c r="G50" t="s">
        <v>20</v>
      </c>
      <c r="H50" s="2">
        <v>5238.42</v>
      </c>
      <c r="I50">
        <v>40</v>
      </c>
      <c r="J50" t="s">
        <v>15</v>
      </c>
      <c r="K50" s="2">
        <v>2565.3000000000002</v>
      </c>
      <c r="L50" s="2">
        <v>3007.47</v>
      </c>
      <c r="M50" t="s">
        <v>16</v>
      </c>
      <c r="N50">
        <v>0.17</v>
      </c>
      <c r="O50" s="2">
        <f>(Sales[[#This Row],[Unit_Price]]-Sales[[#This Row],[Discount]]*Sales[[#This Row],[Unit_Price]])</f>
        <v>2496.2001</v>
      </c>
      <c r="P50" t="s">
        <v>30</v>
      </c>
      <c r="Q50" t="s">
        <v>21</v>
      </c>
      <c r="R50" t="s">
        <v>46</v>
      </c>
    </row>
    <row r="51" spans="1:18" x14ac:dyDescent="0.35">
      <c r="A51">
        <v>1039</v>
      </c>
      <c r="B51" s="1">
        <v>45129</v>
      </c>
      <c r="C51" s="1" t="str">
        <f>TEXT(Sales[[#This Row],[Sale_Date]],"YYYY")</f>
        <v>2023</v>
      </c>
      <c r="D51" s="1" t="str">
        <f>TEXT(Sales[[#This Row],[Sale_Date]],"MMMM")</f>
        <v>July</v>
      </c>
      <c r="E51" s="1" t="str">
        <f>TEXT(Sales[[#This Row],[Sale_Date]],"DDDD")</f>
        <v>Saturday</v>
      </c>
      <c r="F51" t="s">
        <v>41</v>
      </c>
      <c r="G51" t="s">
        <v>33</v>
      </c>
      <c r="H51" s="2">
        <v>6807.67</v>
      </c>
      <c r="I51">
        <v>42</v>
      </c>
      <c r="J51" t="s">
        <v>28</v>
      </c>
      <c r="K51" s="2">
        <v>3120.19</v>
      </c>
      <c r="L51" s="2">
        <v>3600.14</v>
      </c>
      <c r="M51" t="s">
        <v>16</v>
      </c>
      <c r="N51">
        <v>0.19</v>
      </c>
      <c r="O51" s="2">
        <f>(Sales[[#This Row],[Unit_Price]]-Sales[[#This Row],[Discount]]*Sales[[#This Row],[Unit_Price]])</f>
        <v>2916.1133999999997</v>
      </c>
      <c r="P51" t="s">
        <v>30</v>
      </c>
      <c r="Q51" t="s">
        <v>21</v>
      </c>
      <c r="R51" t="s">
        <v>51</v>
      </c>
    </row>
    <row r="52" spans="1:18" x14ac:dyDescent="0.35">
      <c r="A52">
        <v>1018</v>
      </c>
      <c r="B52" s="1">
        <v>44952</v>
      </c>
      <c r="C52" s="1" t="str">
        <f>TEXT(Sales[[#This Row],[Sale_Date]],"YYYY")</f>
        <v>2023</v>
      </c>
      <c r="D52" s="1" t="str">
        <f>TEXT(Sales[[#This Row],[Sale_Date]],"MMMM")</f>
        <v>January</v>
      </c>
      <c r="E52" s="1" t="str">
        <f>TEXT(Sales[[#This Row],[Sale_Date]],"DDDD")</f>
        <v>Thursday</v>
      </c>
      <c r="F52" t="s">
        <v>41</v>
      </c>
      <c r="G52" t="s">
        <v>33</v>
      </c>
      <c r="H52" s="2">
        <v>3187.45</v>
      </c>
      <c r="I52">
        <v>11</v>
      </c>
      <c r="J52" t="s">
        <v>28</v>
      </c>
      <c r="K52" s="2">
        <v>2414.8200000000002</v>
      </c>
      <c r="L52" s="2">
        <v>2519.0700000000002</v>
      </c>
      <c r="M52" t="s">
        <v>16</v>
      </c>
      <c r="N52">
        <v>0</v>
      </c>
      <c r="O52" s="2">
        <f>(Sales[[#This Row],[Unit_Price]]-Sales[[#This Row],[Discount]]*Sales[[#This Row],[Unit_Price]])</f>
        <v>2519.0700000000002</v>
      </c>
      <c r="P52" t="s">
        <v>17</v>
      </c>
      <c r="Q52" t="s">
        <v>18</v>
      </c>
      <c r="R52" t="s">
        <v>51</v>
      </c>
    </row>
    <row r="53" spans="1:18" x14ac:dyDescent="0.35">
      <c r="A53">
        <v>1004</v>
      </c>
      <c r="B53" s="1">
        <v>45099</v>
      </c>
      <c r="C53" s="1" t="str">
        <f>TEXT(Sales[[#This Row],[Sale_Date]],"YYYY")</f>
        <v>2023</v>
      </c>
      <c r="D53" s="1" t="str">
        <f>TEXT(Sales[[#This Row],[Sale_Date]],"MMMM")</f>
        <v>June</v>
      </c>
      <c r="E53" s="1" t="str">
        <f>TEXT(Sales[[#This Row],[Sale_Date]],"DDDD")</f>
        <v>Thursday</v>
      </c>
      <c r="F53" t="s">
        <v>37</v>
      </c>
      <c r="G53" t="s">
        <v>24</v>
      </c>
      <c r="H53" s="2">
        <v>7762.51</v>
      </c>
      <c r="I53">
        <v>39</v>
      </c>
      <c r="J53" t="s">
        <v>34</v>
      </c>
      <c r="K53" s="2">
        <v>2416.89</v>
      </c>
      <c r="L53" s="2">
        <v>2778.3999999999901</v>
      </c>
      <c r="M53" t="s">
        <v>16</v>
      </c>
      <c r="N53">
        <v>0.05</v>
      </c>
      <c r="O53" s="2">
        <f>(Sales[[#This Row],[Unit_Price]]-Sales[[#This Row],[Discount]]*Sales[[#This Row],[Unit_Price]])</f>
        <v>2639.4799999999905</v>
      </c>
      <c r="P53" t="s">
        <v>17</v>
      </c>
      <c r="Q53" t="s">
        <v>18</v>
      </c>
      <c r="R53" t="s">
        <v>38</v>
      </c>
    </row>
    <row r="54" spans="1:18" x14ac:dyDescent="0.35">
      <c r="A54">
        <v>1089</v>
      </c>
      <c r="B54" s="1">
        <v>45226</v>
      </c>
      <c r="C54" s="1" t="str">
        <f>TEXT(Sales[[#This Row],[Sale_Date]],"YYYY")</f>
        <v>2023</v>
      </c>
      <c r="D54" s="1" t="str">
        <f>TEXT(Sales[[#This Row],[Sale_Date]],"MMMM")</f>
        <v>October</v>
      </c>
      <c r="E54" s="1" t="str">
        <f>TEXT(Sales[[#This Row],[Sale_Date]],"DDDD")</f>
        <v>Friday</v>
      </c>
      <c r="F54" t="s">
        <v>23</v>
      </c>
      <c r="G54" t="s">
        <v>14</v>
      </c>
      <c r="H54" s="2">
        <v>7751.92</v>
      </c>
      <c r="I54">
        <v>43</v>
      </c>
      <c r="J54" t="s">
        <v>15</v>
      </c>
      <c r="K54" s="2">
        <v>3851.45</v>
      </c>
      <c r="L54" s="2">
        <v>4186.9799999999996</v>
      </c>
      <c r="M54" t="s">
        <v>16</v>
      </c>
      <c r="N54">
        <v>0.3</v>
      </c>
      <c r="O54" s="2">
        <f>(Sales[[#This Row],[Unit_Price]]-Sales[[#This Row],[Discount]]*Sales[[#This Row],[Unit_Price]])</f>
        <v>2930.8859999999995</v>
      </c>
      <c r="P54" t="s">
        <v>30</v>
      </c>
      <c r="Q54" t="s">
        <v>18</v>
      </c>
      <c r="R54" t="s">
        <v>44</v>
      </c>
    </row>
    <row r="55" spans="1:18" x14ac:dyDescent="0.35">
      <c r="A55">
        <v>1060</v>
      </c>
      <c r="B55" s="1">
        <v>45059</v>
      </c>
      <c r="C55" s="1" t="str">
        <f>TEXT(Sales[[#This Row],[Sale_Date]],"YYYY")</f>
        <v>2023</v>
      </c>
      <c r="D55" s="1" t="str">
        <f>TEXT(Sales[[#This Row],[Sale_Date]],"MMMM")</f>
        <v>May</v>
      </c>
      <c r="E55" s="1" t="str">
        <f>TEXT(Sales[[#This Row],[Sale_Date]],"DDDD")</f>
        <v>Saturday</v>
      </c>
      <c r="F55" t="s">
        <v>32</v>
      </c>
      <c r="G55" t="s">
        <v>20</v>
      </c>
      <c r="H55" s="2">
        <v>5260.83</v>
      </c>
      <c r="I55">
        <v>31</v>
      </c>
      <c r="J55" t="s">
        <v>34</v>
      </c>
      <c r="K55" s="2">
        <v>3161.4</v>
      </c>
      <c r="L55" s="2">
        <v>3339.66</v>
      </c>
      <c r="M55" t="s">
        <v>16</v>
      </c>
      <c r="N55">
        <v>0.02</v>
      </c>
      <c r="O55" s="2">
        <f>(Sales[[#This Row],[Unit_Price]]-Sales[[#This Row],[Discount]]*Sales[[#This Row],[Unit_Price]])</f>
        <v>3272.8667999999998</v>
      </c>
      <c r="P55" t="s">
        <v>26</v>
      </c>
      <c r="Q55" t="s">
        <v>18</v>
      </c>
      <c r="R55" t="s">
        <v>36</v>
      </c>
    </row>
    <row r="56" spans="1:18" x14ac:dyDescent="0.35">
      <c r="A56">
        <v>1014</v>
      </c>
      <c r="B56" s="1">
        <v>45252</v>
      </c>
      <c r="C56" s="1" t="str">
        <f>TEXT(Sales[[#This Row],[Sale_Date]],"YYYY")</f>
        <v>2023</v>
      </c>
      <c r="D56" s="1" t="str">
        <f>TEXT(Sales[[#This Row],[Sale_Date]],"MMMM")</f>
        <v>November</v>
      </c>
      <c r="E56" s="1" t="str">
        <f>TEXT(Sales[[#This Row],[Sale_Date]],"DDDD")</f>
        <v>Wednesday</v>
      </c>
      <c r="F56" t="s">
        <v>23</v>
      </c>
      <c r="G56" t="s">
        <v>20</v>
      </c>
      <c r="H56" s="2">
        <v>9762.5400000000009</v>
      </c>
      <c r="I56">
        <v>17</v>
      </c>
      <c r="J56" t="s">
        <v>25</v>
      </c>
      <c r="K56" s="2">
        <v>3184.65</v>
      </c>
      <c r="L56" s="2">
        <v>3204.01</v>
      </c>
      <c r="M56" t="s">
        <v>29</v>
      </c>
      <c r="N56">
        <v>0.2</v>
      </c>
      <c r="O56" s="2">
        <f>(Sales[[#This Row],[Unit_Price]]-Sales[[#This Row],[Discount]]*Sales[[#This Row],[Unit_Price]])</f>
        <v>2563.2080000000001</v>
      </c>
      <c r="P56" t="s">
        <v>26</v>
      </c>
      <c r="Q56" t="s">
        <v>18</v>
      </c>
      <c r="R56" t="s">
        <v>46</v>
      </c>
    </row>
    <row r="57" spans="1:18" x14ac:dyDescent="0.35">
      <c r="A57">
        <v>1009</v>
      </c>
      <c r="B57" s="1">
        <v>45044</v>
      </c>
      <c r="C57" s="1" t="str">
        <f>TEXT(Sales[[#This Row],[Sale_Date]],"YYYY")</f>
        <v>2023</v>
      </c>
      <c r="D57" s="1" t="str">
        <f>TEXT(Sales[[#This Row],[Sale_Date]],"MMMM")</f>
        <v>April</v>
      </c>
      <c r="E57" s="1" t="str">
        <f>TEXT(Sales[[#This Row],[Sale_Date]],"DDDD")</f>
        <v>Friday</v>
      </c>
      <c r="F57" t="s">
        <v>41</v>
      </c>
      <c r="G57" t="s">
        <v>14</v>
      </c>
      <c r="H57" s="2">
        <v>1342.95</v>
      </c>
      <c r="I57">
        <v>33</v>
      </c>
      <c r="J57" t="s">
        <v>28</v>
      </c>
      <c r="K57" s="2">
        <v>2278.9</v>
      </c>
      <c r="L57" s="2">
        <v>2626.9</v>
      </c>
      <c r="M57" t="s">
        <v>29</v>
      </c>
      <c r="N57">
        <v>0.05</v>
      </c>
      <c r="O57" s="2">
        <f>(Sales[[#This Row],[Unit_Price]]-Sales[[#This Row],[Discount]]*Sales[[#This Row],[Unit_Price]])</f>
        <v>2495.5550000000003</v>
      </c>
      <c r="P57" t="s">
        <v>30</v>
      </c>
      <c r="Q57" t="s">
        <v>18</v>
      </c>
      <c r="R57" t="s">
        <v>48</v>
      </c>
    </row>
    <row r="58" spans="1:18" x14ac:dyDescent="0.35">
      <c r="A58">
        <v>1090</v>
      </c>
      <c r="B58" s="1">
        <v>45250</v>
      </c>
      <c r="C58" s="1" t="str">
        <f>TEXT(Sales[[#This Row],[Sale_Date]],"YYYY")</f>
        <v>2023</v>
      </c>
      <c r="D58" s="1" t="str">
        <f>TEXT(Sales[[#This Row],[Sale_Date]],"MMMM")</f>
        <v>November</v>
      </c>
      <c r="E58" s="1" t="str">
        <f>TEXT(Sales[[#This Row],[Sale_Date]],"DDDD")</f>
        <v>Monday</v>
      </c>
      <c r="F58" t="s">
        <v>41</v>
      </c>
      <c r="G58" t="s">
        <v>20</v>
      </c>
      <c r="H58" s="2">
        <v>267.77999999999997</v>
      </c>
      <c r="I58">
        <v>32</v>
      </c>
      <c r="J58" t="s">
        <v>34</v>
      </c>
      <c r="K58" s="2">
        <v>2678.99</v>
      </c>
      <c r="L58" s="2">
        <v>3152.2799999999902</v>
      </c>
      <c r="M58" t="s">
        <v>16</v>
      </c>
      <c r="N58">
        <v>0.22</v>
      </c>
      <c r="O58" s="2">
        <f>(Sales[[#This Row],[Unit_Price]]-Sales[[#This Row],[Discount]]*Sales[[#This Row],[Unit_Price]])</f>
        <v>2458.7783999999924</v>
      </c>
      <c r="P58" t="s">
        <v>17</v>
      </c>
      <c r="Q58" t="s">
        <v>21</v>
      </c>
      <c r="R58" t="s">
        <v>50</v>
      </c>
    </row>
    <row r="59" spans="1:18" x14ac:dyDescent="0.35">
      <c r="A59">
        <v>1053</v>
      </c>
      <c r="B59" s="1">
        <v>45201</v>
      </c>
      <c r="C59" s="1" t="str">
        <f>TEXT(Sales[[#This Row],[Sale_Date]],"YYYY")</f>
        <v>2023</v>
      </c>
      <c r="D59" s="1" t="str">
        <f>TEXT(Sales[[#This Row],[Sale_Date]],"MMMM")</f>
        <v>October</v>
      </c>
      <c r="E59" s="1" t="str">
        <f>TEXT(Sales[[#This Row],[Sale_Date]],"DDDD")</f>
        <v>Monday</v>
      </c>
      <c r="F59" t="s">
        <v>23</v>
      </c>
      <c r="G59" t="s">
        <v>33</v>
      </c>
      <c r="H59" s="2">
        <v>7724.57</v>
      </c>
      <c r="I59">
        <v>29</v>
      </c>
      <c r="J59" t="s">
        <v>34</v>
      </c>
      <c r="K59" s="2">
        <v>3741.3</v>
      </c>
      <c r="L59" s="2">
        <v>4061.04</v>
      </c>
      <c r="M59" t="s">
        <v>16</v>
      </c>
      <c r="N59">
        <v>0.21</v>
      </c>
      <c r="O59" s="2">
        <f>(Sales[[#This Row],[Unit_Price]]-Sales[[#This Row],[Discount]]*Sales[[#This Row],[Unit_Price]])</f>
        <v>3208.2215999999999</v>
      </c>
      <c r="P59" t="s">
        <v>30</v>
      </c>
      <c r="Q59" t="s">
        <v>18</v>
      </c>
      <c r="R59" t="s">
        <v>49</v>
      </c>
    </row>
    <row r="60" spans="1:18" x14ac:dyDescent="0.35">
      <c r="A60">
        <v>1002</v>
      </c>
      <c r="B60" s="1">
        <v>45138</v>
      </c>
      <c r="C60" s="1" t="str">
        <f>TEXT(Sales[[#This Row],[Sale_Date]],"YYYY")</f>
        <v>2023</v>
      </c>
      <c r="D60" s="1" t="str">
        <f>TEXT(Sales[[#This Row],[Sale_Date]],"MMMM")</f>
        <v>July</v>
      </c>
      <c r="E60" s="1" t="str">
        <f>TEXT(Sales[[#This Row],[Sale_Date]],"DDDD")</f>
        <v>Monday</v>
      </c>
      <c r="F60" t="s">
        <v>23</v>
      </c>
      <c r="G60" t="s">
        <v>33</v>
      </c>
      <c r="H60" s="2">
        <v>8090.84</v>
      </c>
      <c r="I60">
        <v>21</v>
      </c>
      <c r="J60" t="s">
        <v>28</v>
      </c>
      <c r="K60" s="2">
        <v>4138.41</v>
      </c>
      <c r="L60" s="2">
        <v>4361.7</v>
      </c>
      <c r="M60" t="s">
        <v>16</v>
      </c>
      <c r="N60">
        <v>7.0000000000000007E-2</v>
      </c>
      <c r="O60" s="2">
        <f>(Sales[[#This Row],[Unit_Price]]-Sales[[#This Row],[Discount]]*Sales[[#This Row],[Unit_Price]])</f>
        <v>4056.3809999999999</v>
      </c>
      <c r="P60" t="s">
        <v>30</v>
      </c>
      <c r="Q60" t="s">
        <v>21</v>
      </c>
      <c r="R60" t="s">
        <v>49</v>
      </c>
    </row>
    <row r="61" spans="1:18" x14ac:dyDescent="0.35">
      <c r="A61">
        <v>1084</v>
      </c>
      <c r="B61" s="1">
        <v>45151</v>
      </c>
      <c r="C61" s="1" t="str">
        <f>TEXT(Sales[[#This Row],[Sale_Date]],"YYYY")</f>
        <v>2023</v>
      </c>
      <c r="D61" s="1" t="str">
        <f>TEXT(Sales[[#This Row],[Sale_Date]],"MMMM")</f>
        <v>August</v>
      </c>
      <c r="E61" s="1" t="str">
        <f>TEXT(Sales[[#This Row],[Sale_Date]],"DDDD")</f>
        <v>Sunday</v>
      </c>
      <c r="F61" t="s">
        <v>41</v>
      </c>
      <c r="G61" t="s">
        <v>20</v>
      </c>
      <c r="H61" s="2">
        <v>1290.05</v>
      </c>
      <c r="I61">
        <v>21</v>
      </c>
      <c r="J61" t="s">
        <v>15</v>
      </c>
      <c r="K61" s="2">
        <v>3497.98</v>
      </c>
      <c r="L61" s="2">
        <v>3765.31</v>
      </c>
      <c r="M61" t="s">
        <v>29</v>
      </c>
      <c r="N61">
        <v>0.08</v>
      </c>
      <c r="O61" s="2">
        <f>(Sales[[#This Row],[Unit_Price]]-Sales[[#This Row],[Discount]]*Sales[[#This Row],[Unit_Price]])</f>
        <v>3464.0852</v>
      </c>
      <c r="P61" t="s">
        <v>17</v>
      </c>
      <c r="Q61" t="s">
        <v>18</v>
      </c>
      <c r="R61" t="s">
        <v>50</v>
      </c>
    </row>
    <row r="62" spans="1:18" x14ac:dyDescent="0.35">
      <c r="A62">
        <v>1092</v>
      </c>
      <c r="B62" s="1">
        <v>44946</v>
      </c>
      <c r="C62" s="1" t="str">
        <f>TEXT(Sales[[#This Row],[Sale_Date]],"YYYY")</f>
        <v>2023</v>
      </c>
      <c r="D62" s="1" t="str">
        <f>TEXT(Sales[[#This Row],[Sale_Date]],"MMMM")</f>
        <v>January</v>
      </c>
      <c r="E62" s="1" t="str">
        <f>TEXT(Sales[[#This Row],[Sale_Date]],"DDDD")</f>
        <v>Friday</v>
      </c>
      <c r="F62" t="s">
        <v>32</v>
      </c>
      <c r="G62" t="s">
        <v>33</v>
      </c>
      <c r="H62" s="2">
        <v>2729.27</v>
      </c>
      <c r="I62">
        <v>40</v>
      </c>
      <c r="J62" t="s">
        <v>34</v>
      </c>
      <c r="K62" s="2">
        <v>4624.16</v>
      </c>
      <c r="L62" s="2">
        <v>4731.9799999999996</v>
      </c>
      <c r="M62" t="s">
        <v>29</v>
      </c>
      <c r="N62">
        <v>0.2</v>
      </c>
      <c r="O62" s="2">
        <f>(Sales[[#This Row],[Unit_Price]]-Sales[[#This Row],[Discount]]*Sales[[#This Row],[Unit_Price]])</f>
        <v>3785.5839999999998</v>
      </c>
      <c r="P62" t="s">
        <v>26</v>
      </c>
      <c r="Q62" t="s">
        <v>21</v>
      </c>
      <c r="R62" t="s">
        <v>35</v>
      </c>
    </row>
    <row r="63" spans="1:18" x14ac:dyDescent="0.35">
      <c r="A63">
        <v>1060</v>
      </c>
      <c r="B63" s="1">
        <v>45039</v>
      </c>
      <c r="C63" s="1" t="str">
        <f>TEXT(Sales[[#This Row],[Sale_Date]],"YYYY")</f>
        <v>2023</v>
      </c>
      <c r="D63" s="1" t="str">
        <f>TEXT(Sales[[#This Row],[Sale_Date]],"MMMM")</f>
        <v>April</v>
      </c>
      <c r="E63" s="1" t="str">
        <f>TEXT(Sales[[#This Row],[Sale_Date]],"DDDD")</f>
        <v>Sunday</v>
      </c>
      <c r="F63" t="s">
        <v>37</v>
      </c>
      <c r="G63" t="s">
        <v>33</v>
      </c>
      <c r="H63" s="2">
        <v>273.77</v>
      </c>
      <c r="I63">
        <v>23</v>
      </c>
      <c r="J63" t="s">
        <v>28</v>
      </c>
      <c r="K63" s="2">
        <v>4110.6000000000004</v>
      </c>
      <c r="L63" s="2">
        <v>4488.37</v>
      </c>
      <c r="M63" t="s">
        <v>29</v>
      </c>
      <c r="N63">
        <v>0.12</v>
      </c>
      <c r="O63" s="2">
        <f>(Sales[[#This Row],[Unit_Price]]-Sales[[#This Row],[Discount]]*Sales[[#This Row],[Unit_Price]])</f>
        <v>3949.7655999999997</v>
      </c>
      <c r="P63" t="s">
        <v>30</v>
      </c>
      <c r="Q63" t="s">
        <v>18</v>
      </c>
      <c r="R63" t="s">
        <v>47</v>
      </c>
    </row>
    <row r="64" spans="1:18" x14ac:dyDescent="0.35">
      <c r="A64">
        <v>1071</v>
      </c>
      <c r="B64" s="1">
        <v>45066</v>
      </c>
      <c r="C64" s="1" t="str">
        <f>TEXT(Sales[[#This Row],[Sale_Date]],"YYYY")</f>
        <v>2023</v>
      </c>
      <c r="D64" s="1" t="str">
        <f>TEXT(Sales[[#This Row],[Sale_Date]],"MMMM")</f>
        <v>May</v>
      </c>
      <c r="E64" s="1" t="str">
        <f>TEXT(Sales[[#This Row],[Sale_Date]],"DDDD")</f>
        <v>Saturday</v>
      </c>
      <c r="F64" t="s">
        <v>37</v>
      </c>
      <c r="G64" t="s">
        <v>20</v>
      </c>
      <c r="H64" s="2">
        <v>3003.76</v>
      </c>
      <c r="I64">
        <v>6</v>
      </c>
      <c r="J64" t="s">
        <v>15</v>
      </c>
      <c r="K64" s="2">
        <v>2831.23</v>
      </c>
      <c r="L64" s="2">
        <v>3206.98</v>
      </c>
      <c r="M64" t="s">
        <v>16</v>
      </c>
      <c r="N64">
        <v>0.06</v>
      </c>
      <c r="O64" s="2">
        <f>(Sales[[#This Row],[Unit_Price]]-Sales[[#This Row],[Discount]]*Sales[[#This Row],[Unit_Price]])</f>
        <v>3014.5612000000001</v>
      </c>
      <c r="P64" t="s">
        <v>26</v>
      </c>
      <c r="Q64" t="s">
        <v>21</v>
      </c>
      <c r="R64" t="s">
        <v>40</v>
      </c>
    </row>
    <row r="65" spans="1:18" x14ac:dyDescent="0.35">
      <c r="A65">
        <v>1044</v>
      </c>
      <c r="B65" s="1">
        <v>44973</v>
      </c>
      <c r="C65" s="1" t="str">
        <f>TEXT(Sales[[#This Row],[Sale_Date]],"YYYY")</f>
        <v>2023</v>
      </c>
      <c r="D65" s="1" t="str">
        <f>TEXT(Sales[[#This Row],[Sale_Date]],"MMMM")</f>
        <v>February</v>
      </c>
      <c r="E65" s="1" t="str">
        <f>TEXT(Sales[[#This Row],[Sale_Date]],"DDDD")</f>
        <v>Thursday</v>
      </c>
      <c r="F65" t="s">
        <v>23</v>
      </c>
      <c r="G65" t="s">
        <v>24</v>
      </c>
      <c r="H65" s="2">
        <v>7754.1</v>
      </c>
      <c r="I65">
        <v>22</v>
      </c>
      <c r="J65" t="s">
        <v>25</v>
      </c>
      <c r="K65" s="2">
        <v>3373.46</v>
      </c>
      <c r="L65" s="2">
        <v>3454.76</v>
      </c>
      <c r="M65" t="s">
        <v>16</v>
      </c>
      <c r="N65">
        <v>0.22</v>
      </c>
      <c r="O65" s="2">
        <f>(Sales[[#This Row],[Unit_Price]]-Sales[[#This Row],[Discount]]*Sales[[#This Row],[Unit_Price]])</f>
        <v>2694.7128000000002</v>
      </c>
      <c r="P65" t="s">
        <v>26</v>
      </c>
      <c r="Q65" t="s">
        <v>21</v>
      </c>
      <c r="R65" t="s">
        <v>27</v>
      </c>
    </row>
    <row r="66" spans="1:18" x14ac:dyDescent="0.35">
      <c r="A66">
        <v>1008</v>
      </c>
      <c r="B66" s="1">
        <v>44927</v>
      </c>
      <c r="C66" s="1" t="str">
        <f>TEXT(Sales[[#This Row],[Sale_Date]],"YYYY")</f>
        <v>2023</v>
      </c>
      <c r="D66" s="1" t="str">
        <f>TEXT(Sales[[#This Row],[Sale_Date]],"MMMM")</f>
        <v>January</v>
      </c>
      <c r="E66" s="1" t="str">
        <f>TEXT(Sales[[#This Row],[Sale_Date]],"DDDD")</f>
        <v>Sunday</v>
      </c>
      <c r="F66" t="s">
        <v>37</v>
      </c>
      <c r="G66" t="s">
        <v>14</v>
      </c>
      <c r="H66" s="2">
        <v>5227.8100000000004</v>
      </c>
      <c r="I66">
        <v>38</v>
      </c>
      <c r="J66" t="s">
        <v>28</v>
      </c>
      <c r="K66" s="2">
        <v>4635.2299999999996</v>
      </c>
      <c r="L66" s="2">
        <v>5075.4399999999996</v>
      </c>
      <c r="M66" t="s">
        <v>16</v>
      </c>
      <c r="N66">
        <v>0.05</v>
      </c>
      <c r="O66" s="2">
        <f>(Sales[[#This Row],[Unit_Price]]-Sales[[#This Row],[Discount]]*Sales[[#This Row],[Unit_Price]])</f>
        <v>4821.6679999999997</v>
      </c>
      <c r="P66" t="s">
        <v>17</v>
      </c>
      <c r="Q66" t="s">
        <v>18</v>
      </c>
      <c r="R66" t="s">
        <v>39</v>
      </c>
    </row>
    <row r="67" spans="1:18" x14ac:dyDescent="0.35">
      <c r="A67">
        <v>1047</v>
      </c>
      <c r="B67" s="1">
        <v>45016</v>
      </c>
      <c r="C67" s="1" t="str">
        <f>TEXT(Sales[[#This Row],[Sale_Date]],"YYYY")</f>
        <v>2023</v>
      </c>
      <c r="D67" s="1" t="str">
        <f>TEXT(Sales[[#This Row],[Sale_Date]],"MMMM")</f>
        <v>March</v>
      </c>
      <c r="E67" s="1" t="str">
        <f>TEXT(Sales[[#This Row],[Sale_Date]],"DDDD")</f>
        <v>Friday</v>
      </c>
      <c r="F67" t="s">
        <v>41</v>
      </c>
      <c r="G67" t="s">
        <v>33</v>
      </c>
      <c r="H67" s="2">
        <v>3546.15</v>
      </c>
      <c r="I67">
        <v>37</v>
      </c>
      <c r="J67" t="s">
        <v>34</v>
      </c>
      <c r="K67" s="2">
        <v>3114.88</v>
      </c>
      <c r="L67" s="2">
        <v>3256.78</v>
      </c>
      <c r="M67" t="s">
        <v>16</v>
      </c>
      <c r="N67">
        <v>0.26</v>
      </c>
      <c r="O67" s="2">
        <f>(Sales[[#This Row],[Unit_Price]]-Sales[[#This Row],[Discount]]*Sales[[#This Row],[Unit_Price]])</f>
        <v>2410.0172000000002</v>
      </c>
      <c r="P67" t="s">
        <v>30</v>
      </c>
      <c r="Q67" t="s">
        <v>18</v>
      </c>
      <c r="R67" t="s">
        <v>51</v>
      </c>
    </row>
    <row r="68" spans="1:18" x14ac:dyDescent="0.35">
      <c r="A68">
        <v>1035</v>
      </c>
      <c r="B68" s="1">
        <v>45068</v>
      </c>
      <c r="C68" s="1" t="str">
        <f>TEXT(Sales[[#This Row],[Sale_Date]],"YYYY")</f>
        <v>2023</v>
      </c>
      <c r="D68" s="1" t="str">
        <f>TEXT(Sales[[#This Row],[Sale_Date]],"MMMM")</f>
        <v>May</v>
      </c>
      <c r="E68" s="1" t="str">
        <f>TEXT(Sales[[#This Row],[Sale_Date]],"DDDD")</f>
        <v>Monday</v>
      </c>
      <c r="F68" t="s">
        <v>41</v>
      </c>
      <c r="G68" t="s">
        <v>24</v>
      </c>
      <c r="H68" s="2">
        <v>3780.22</v>
      </c>
      <c r="I68">
        <v>45</v>
      </c>
      <c r="J68" t="s">
        <v>25</v>
      </c>
      <c r="K68" s="2">
        <v>4132.79</v>
      </c>
      <c r="L68" s="2">
        <v>4624.1000000000004</v>
      </c>
      <c r="M68" t="s">
        <v>29</v>
      </c>
      <c r="N68">
        <v>0.15</v>
      </c>
      <c r="O68" s="2">
        <f>(Sales[[#This Row],[Unit_Price]]-Sales[[#This Row],[Discount]]*Sales[[#This Row],[Unit_Price]])</f>
        <v>3930.4850000000006</v>
      </c>
      <c r="P68" t="s">
        <v>30</v>
      </c>
      <c r="Q68" t="s">
        <v>21</v>
      </c>
      <c r="R68" t="s">
        <v>42</v>
      </c>
    </row>
    <row r="69" spans="1:18" x14ac:dyDescent="0.35">
      <c r="A69">
        <v>1078</v>
      </c>
      <c r="B69" s="1">
        <v>45246</v>
      </c>
      <c r="C69" s="1" t="str">
        <f>TEXT(Sales[[#This Row],[Sale_Date]],"YYYY")</f>
        <v>2023</v>
      </c>
      <c r="D69" s="1" t="str">
        <f>TEXT(Sales[[#This Row],[Sale_Date]],"MMMM")</f>
        <v>November</v>
      </c>
      <c r="E69" s="1" t="str">
        <f>TEXT(Sales[[#This Row],[Sale_Date]],"DDDD")</f>
        <v>Thursday</v>
      </c>
      <c r="F69" t="s">
        <v>23</v>
      </c>
      <c r="G69" t="s">
        <v>33</v>
      </c>
      <c r="H69" s="2">
        <v>113.4</v>
      </c>
      <c r="I69">
        <v>8</v>
      </c>
      <c r="J69" t="s">
        <v>15</v>
      </c>
      <c r="K69" s="2">
        <v>3459.61</v>
      </c>
      <c r="L69" s="2">
        <v>3657.23</v>
      </c>
      <c r="M69" t="s">
        <v>16</v>
      </c>
      <c r="N69">
        <v>0.03</v>
      </c>
      <c r="O69" s="2">
        <f>(Sales[[#This Row],[Unit_Price]]-Sales[[#This Row],[Discount]]*Sales[[#This Row],[Unit_Price]])</f>
        <v>3547.5131000000001</v>
      </c>
      <c r="P69" t="s">
        <v>26</v>
      </c>
      <c r="Q69" t="s">
        <v>18</v>
      </c>
      <c r="R69" t="s">
        <v>49</v>
      </c>
    </row>
    <row r="70" spans="1:18" x14ac:dyDescent="0.35">
      <c r="A70">
        <v>1081</v>
      </c>
      <c r="B70" s="1">
        <v>44964</v>
      </c>
      <c r="C70" s="1" t="str">
        <f>TEXT(Sales[[#This Row],[Sale_Date]],"YYYY")</f>
        <v>2023</v>
      </c>
      <c r="D70" s="1" t="str">
        <f>TEXT(Sales[[#This Row],[Sale_Date]],"MMMM")</f>
        <v>February</v>
      </c>
      <c r="E70" s="1" t="str">
        <f>TEXT(Sales[[#This Row],[Sale_Date]],"DDDD")</f>
        <v>Tuesday</v>
      </c>
      <c r="F70" t="s">
        <v>23</v>
      </c>
      <c r="G70" t="s">
        <v>33</v>
      </c>
      <c r="H70" s="2">
        <v>3068.03</v>
      </c>
      <c r="I70">
        <v>41</v>
      </c>
      <c r="J70" t="s">
        <v>15</v>
      </c>
      <c r="K70" s="2">
        <v>2782.08</v>
      </c>
      <c r="L70" s="2">
        <v>2879.24</v>
      </c>
      <c r="M70" t="s">
        <v>29</v>
      </c>
      <c r="N70">
        <v>0.21</v>
      </c>
      <c r="O70" s="2">
        <f>(Sales[[#This Row],[Unit_Price]]-Sales[[#This Row],[Discount]]*Sales[[#This Row],[Unit_Price]])</f>
        <v>2274.5996</v>
      </c>
      <c r="P70" t="s">
        <v>26</v>
      </c>
      <c r="Q70" t="s">
        <v>18</v>
      </c>
      <c r="R70" t="s">
        <v>49</v>
      </c>
    </row>
    <row r="71" spans="1:18" x14ac:dyDescent="0.35">
      <c r="A71">
        <v>1036</v>
      </c>
      <c r="B71" s="1">
        <v>45219</v>
      </c>
      <c r="C71" s="1" t="str">
        <f>TEXT(Sales[[#This Row],[Sale_Date]],"YYYY")</f>
        <v>2023</v>
      </c>
      <c r="D71" s="1" t="str">
        <f>TEXT(Sales[[#This Row],[Sale_Date]],"MMMM")</f>
        <v>October</v>
      </c>
      <c r="E71" s="1" t="str">
        <f>TEXT(Sales[[#This Row],[Sale_Date]],"DDDD")</f>
        <v>Friday</v>
      </c>
      <c r="F71" t="s">
        <v>23</v>
      </c>
      <c r="G71" t="s">
        <v>14</v>
      </c>
      <c r="H71" s="2">
        <v>6499.94</v>
      </c>
      <c r="I71">
        <v>49</v>
      </c>
      <c r="J71" t="s">
        <v>28</v>
      </c>
      <c r="K71" s="2">
        <v>1247.0999999999999</v>
      </c>
      <c r="L71" s="2">
        <v>1429.4399999999901</v>
      </c>
      <c r="M71" t="s">
        <v>29</v>
      </c>
      <c r="N71">
        <v>0.16</v>
      </c>
      <c r="O71" s="2">
        <f>(Sales[[#This Row],[Unit_Price]]-Sales[[#This Row],[Discount]]*Sales[[#This Row],[Unit_Price]])</f>
        <v>1200.7295999999917</v>
      </c>
      <c r="P71" t="s">
        <v>17</v>
      </c>
      <c r="Q71" t="s">
        <v>18</v>
      </c>
      <c r="R71" t="s">
        <v>44</v>
      </c>
    </row>
    <row r="72" spans="1:18" x14ac:dyDescent="0.35">
      <c r="A72">
        <v>1050</v>
      </c>
      <c r="B72" s="1">
        <v>45065</v>
      </c>
      <c r="C72" s="1" t="str">
        <f>TEXT(Sales[[#This Row],[Sale_Date]],"YYYY")</f>
        <v>2023</v>
      </c>
      <c r="D72" s="1" t="str">
        <f>TEXT(Sales[[#This Row],[Sale_Date]],"MMMM")</f>
        <v>May</v>
      </c>
      <c r="E72" s="1" t="str">
        <f>TEXT(Sales[[#This Row],[Sale_Date]],"DDDD")</f>
        <v>Friday</v>
      </c>
      <c r="F72" t="s">
        <v>32</v>
      </c>
      <c r="G72" t="s">
        <v>33</v>
      </c>
      <c r="H72" s="2">
        <v>9744.52</v>
      </c>
      <c r="I72">
        <v>35</v>
      </c>
      <c r="J72" t="s">
        <v>28</v>
      </c>
      <c r="K72" s="2">
        <v>2158.69</v>
      </c>
      <c r="L72" s="2">
        <v>2384.38</v>
      </c>
      <c r="M72" t="s">
        <v>16</v>
      </c>
      <c r="N72">
        <v>0.09</v>
      </c>
      <c r="O72" s="2">
        <f>(Sales[[#This Row],[Unit_Price]]-Sales[[#This Row],[Discount]]*Sales[[#This Row],[Unit_Price]])</f>
        <v>2169.7858000000001</v>
      </c>
      <c r="P72" t="s">
        <v>26</v>
      </c>
      <c r="Q72" t="s">
        <v>21</v>
      </c>
      <c r="R72" t="s">
        <v>35</v>
      </c>
    </row>
    <row r="73" spans="1:18" x14ac:dyDescent="0.35">
      <c r="A73">
        <v>1004</v>
      </c>
      <c r="B73" s="1">
        <v>45282</v>
      </c>
      <c r="C73" s="1" t="str">
        <f>TEXT(Sales[[#This Row],[Sale_Date]],"YYYY")</f>
        <v>2023</v>
      </c>
      <c r="D73" s="1" t="str">
        <f>TEXT(Sales[[#This Row],[Sale_Date]],"MMMM")</f>
        <v>December</v>
      </c>
      <c r="E73" s="1" t="str">
        <f>TEXT(Sales[[#This Row],[Sale_Date]],"DDDD")</f>
        <v>Friday</v>
      </c>
      <c r="F73" t="s">
        <v>37</v>
      </c>
      <c r="G73" t="s">
        <v>14</v>
      </c>
      <c r="H73" s="2">
        <v>8485.9</v>
      </c>
      <c r="I73">
        <v>11</v>
      </c>
      <c r="J73" t="s">
        <v>28</v>
      </c>
      <c r="K73" s="2">
        <v>4840.33</v>
      </c>
      <c r="L73" s="2">
        <v>4884.29</v>
      </c>
      <c r="M73" t="s">
        <v>29</v>
      </c>
      <c r="N73">
        <v>0.13</v>
      </c>
      <c r="O73" s="2">
        <f>(Sales[[#This Row],[Unit_Price]]-Sales[[#This Row],[Discount]]*Sales[[#This Row],[Unit_Price]])</f>
        <v>4249.3323</v>
      </c>
      <c r="P73" t="s">
        <v>17</v>
      </c>
      <c r="Q73" t="s">
        <v>18</v>
      </c>
      <c r="R73" t="s">
        <v>39</v>
      </c>
    </row>
    <row r="74" spans="1:18" x14ac:dyDescent="0.35">
      <c r="A74">
        <v>1002</v>
      </c>
      <c r="B74" s="1">
        <v>45259</v>
      </c>
      <c r="C74" s="1" t="str">
        <f>TEXT(Sales[[#This Row],[Sale_Date]],"YYYY")</f>
        <v>2023</v>
      </c>
      <c r="D74" s="1" t="str">
        <f>TEXT(Sales[[#This Row],[Sale_Date]],"MMMM")</f>
        <v>November</v>
      </c>
      <c r="E74" s="1" t="str">
        <f>TEXT(Sales[[#This Row],[Sale_Date]],"DDDD")</f>
        <v>Wednesday</v>
      </c>
      <c r="F74" t="s">
        <v>23</v>
      </c>
      <c r="G74" t="s">
        <v>14</v>
      </c>
      <c r="H74" s="2">
        <v>333.59</v>
      </c>
      <c r="I74">
        <v>24</v>
      </c>
      <c r="J74" t="s">
        <v>15</v>
      </c>
      <c r="K74" s="2">
        <v>3305.94</v>
      </c>
      <c r="L74" s="2">
        <v>3599.27</v>
      </c>
      <c r="M74" t="s">
        <v>29</v>
      </c>
      <c r="N74">
        <v>0.09</v>
      </c>
      <c r="O74" s="2">
        <f>(Sales[[#This Row],[Unit_Price]]-Sales[[#This Row],[Discount]]*Sales[[#This Row],[Unit_Price]])</f>
        <v>3275.3357000000001</v>
      </c>
      <c r="P74" t="s">
        <v>30</v>
      </c>
      <c r="Q74" t="s">
        <v>21</v>
      </c>
      <c r="R74" t="s">
        <v>44</v>
      </c>
    </row>
    <row r="75" spans="1:18" x14ac:dyDescent="0.35">
      <c r="A75">
        <v>1006</v>
      </c>
      <c r="B75" s="1">
        <v>45185</v>
      </c>
      <c r="C75" s="1" t="str">
        <f>TEXT(Sales[[#This Row],[Sale_Date]],"YYYY")</f>
        <v>2023</v>
      </c>
      <c r="D75" s="1" t="str">
        <f>TEXT(Sales[[#This Row],[Sale_Date]],"MMMM")</f>
        <v>September</v>
      </c>
      <c r="E75" s="1" t="str">
        <f>TEXT(Sales[[#This Row],[Sale_Date]],"DDDD")</f>
        <v>Saturday</v>
      </c>
      <c r="F75" t="s">
        <v>13</v>
      </c>
      <c r="G75" t="s">
        <v>14</v>
      </c>
      <c r="H75" s="2">
        <v>8995.75</v>
      </c>
      <c r="I75">
        <v>49</v>
      </c>
      <c r="J75" t="s">
        <v>25</v>
      </c>
      <c r="K75" s="2">
        <v>2843.76</v>
      </c>
      <c r="L75" s="2">
        <v>3146.6</v>
      </c>
      <c r="M75" t="s">
        <v>29</v>
      </c>
      <c r="N75">
        <v>0.08</v>
      </c>
      <c r="O75" s="2">
        <f>(Sales[[#This Row],[Unit_Price]]-Sales[[#This Row],[Discount]]*Sales[[#This Row],[Unit_Price]])</f>
        <v>2894.8719999999998</v>
      </c>
      <c r="P75" t="s">
        <v>17</v>
      </c>
      <c r="Q75" t="s">
        <v>21</v>
      </c>
      <c r="R75" t="s">
        <v>19</v>
      </c>
    </row>
    <row r="76" spans="1:18" x14ac:dyDescent="0.35">
      <c r="A76">
        <v>1054</v>
      </c>
      <c r="B76" s="1">
        <v>45087</v>
      </c>
      <c r="C76" s="1" t="str">
        <f>TEXT(Sales[[#This Row],[Sale_Date]],"YYYY")</f>
        <v>2023</v>
      </c>
      <c r="D76" s="1" t="str">
        <f>TEXT(Sales[[#This Row],[Sale_Date]],"MMMM")</f>
        <v>June</v>
      </c>
      <c r="E76" s="1" t="str">
        <f>TEXT(Sales[[#This Row],[Sale_Date]],"DDDD")</f>
        <v>Saturday</v>
      </c>
      <c r="F76" t="s">
        <v>13</v>
      </c>
      <c r="G76" t="s">
        <v>24</v>
      </c>
      <c r="H76" s="2">
        <v>7853.66</v>
      </c>
      <c r="I76">
        <v>21</v>
      </c>
      <c r="J76" t="s">
        <v>15</v>
      </c>
      <c r="K76" s="2">
        <v>4668.1400000000003</v>
      </c>
      <c r="L76" s="2">
        <v>5040.22</v>
      </c>
      <c r="M76" t="s">
        <v>29</v>
      </c>
      <c r="N76">
        <v>0.05</v>
      </c>
      <c r="O76" s="2">
        <f>(Sales[[#This Row],[Unit_Price]]-Sales[[#This Row],[Discount]]*Sales[[#This Row],[Unit_Price]])</f>
        <v>4788.2089999999998</v>
      </c>
      <c r="P76" t="s">
        <v>26</v>
      </c>
      <c r="Q76" t="s">
        <v>18</v>
      </c>
      <c r="R76" t="s">
        <v>31</v>
      </c>
    </row>
    <row r="77" spans="1:18" x14ac:dyDescent="0.35">
      <c r="A77">
        <v>1004</v>
      </c>
      <c r="B77" s="1">
        <v>45104</v>
      </c>
      <c r="C77" s="1" t="str">
        <f>TEXT(Sales[[#This Row],[Sale_Date]],"YYYY")</f>
        <v>2023</v>
      </c>
      <c r="D77" s="1" t="str">
        <f>TEXT(Sales[[#This Row],[Sale_Date]],"MMMM")</f>
        <v>June</v>
      </c>
      <c r="E77" s="1" t="str">
        <f>TEXT(Sales[[#This Row],[Sale_Date]],"DDDD")</f>
        <v>Tuesday</v>
      </c>
      <c r="F77" t="s">
        <v>41</v>
      </c>
      <c r="G77" t="s">
        <v>20</v>
      </c>
      <c r="H77" s="2">
        <v>7825.72</v>
      </c>
      <c r="I77">
        <v>2</v>
      </c>
      <c r="J77" t="s">
        <v>34</v>
      </c>
      <c r="K77" s="2">
        <v>2953.23</v>
      </c>
      <c r="L77" s="2">
        <v>2977.52</v>
      </c>
      <c r="M77" t="s">
        <v>16</v>
      </c>
      <c r="N77">
        <v>0.11</v>
      </c>
      <c r="O77" s="2">
        <f>(Sales[[#This Row],[Unit_Price]]-Sales[[#This Row],[Discount]]*Sales[[#This Row],[Unit_Price]])</f>
        <v>2649.9928</v>
      </c>
      <c r="P77" t="s">
        <v>30</v>
      </c>
      <c r="Q77" t="s">
        <v>21</v>
      </c>
      <c r="R77" t="s">
        <v>50</v>
      </c>
    </row>
    <row r="78" spans="1:18" x14ac:dyDescent="0.35">
      <c r="A78">
        <v>1054</v>
      </c>
      <c r="B78" s="1">
        <v>44936</v>
      </c>
      <c r="C78" s="1" t="str">
        <f>TEXT(Sales[[#This Row],[Sale_Date]],"YYYY")</f>
        <v>2023</v>
      </c>
      <c r="D78" s="1" t="str">
        <f>TEXT(Sales[[#This Row],[Sale_Date]],"MMMM")</f>
        <v>January</v>
      </c>
      <c r="E78" s="1" t="str">
        <f>TEXT(Sales[[#This Row],[Sale_Date]],"DDDD")</f>
        <v>Tuesday</v>
      </c>
      <c r="F78" t="s">
        <v>37</v>
      </c>
      <c r="G78" t="s">
        <v>24</v>
      </c>
      <c r="H78" s="2">
        <v>4634.16</v>
      </c>
      <c r="I78">
        <v>40</v>
      </c>
      <c r="J78" t="s">
        <v>15</v>
      </c>
      <c r="K78" s="2">
        <v>2654.11</v>
      </c>
      <c r="L78" s="2">
        <v>2929.32</v>
      </c>
      <c r="M78" t="s">
        <v>16</v>
      </c>
      <c r="N78">
        <v>0.08</v>
      </c>
      <c r="O78" s="2">
        <f>(Sales[[#This Row],[Unit_Price]]-Sales[[#This Row],[Discount]]*Sales[[#This Row],[Unit_Price]])</f>
        <v>2694.9744000000001</v>
      </c>
      <c r="P78" t="s">
        <v>17</v>
      </c>
      <c r="Q78" t="s">
        <v>18</v>
      </c>
      <c r="R78" t="s">
        <v>38</v>
      </c>
    </row>
    <row r="79" spans="1:18" x14ac:dyDescent="0.35">
      <c r="A79">
        <v>1093</v>
      </c>
      <c r="B79" s="1">
        <v>45187</v>
      </c>
      <c r="C79" s="1" t="str">
        <f>TEXT(Sales[[#This Row],[Sale_Date]],"YYYY")</f>
        <v>2023</v>
      </c>
      <c r="D79" s="1" t="str">
        <f>TEXT(Sales[[#This Row],[Sale_Date]],"MMMM")</f>
        <v>September</v>
      </c>
      <c r="E79" s="1" t="str">
        <f>TEXT(Sales[[#This Row],[Sale_Date]],"DDDD")</f>
        <v>Monday</v>
      </c>
      <c r="F79" t="s">
        <v>23</v>
      </c>
      <c r="G79" t="s">
        <v>20</v>
      </c>
      <c r="H79" s="2">
        <v>4040.25</v>
      </c>
      <c r="I79">
        <v>19</v>
      </c>
      <c r="J79" t="s">
        <v>34</v>
      </c>
      <c r="K79" s="2">
        <v>3808.59</v>
      </c>
      <c r="L79" s="2">
        <v>3844.51</v>
      </c>
      <c r="M79" t="s">
        <v>29</v>
      </c>
      <c r="N79">
        <v>0.21</v>
      </c>
      <c r="O79" s="2">
        <f>(Sales[[#This Row],[Unit_Price]]-Sales[[#This Row],[Discount]]*Sales[[#This Row],[Unit_Price]])</f>
        <v>3037.1629000000003</v>
      </c>
      <c r="P79" t="s">
        <v>30</v>
      </c>
      <c r="Q79" t="s">
        <v>18</v>
      </c>
      <c r="R79" t="s">
        <v>46</v>
      </c>
    </row>
    <row r="80" spans="1:18" x14ac:dyDescent="0.35">
      <c r="A80">
        <v>1063</v>
      </c>
      <c r="B80" s="1">
        <v>45064</v>
      </c>
      <c r="C80" s="1" t="str">
        <f>TEXT(Sales[[#This Row],[Sale_Date]],"YYYY")</f>
        <v>2023</v>
      </c>
      <c r="D80" s="1" t="str">
        <f>TEXT(Sales[[#This Row],[Sale_Date]],"MMMM")</f>
        <v>May</v>
      </c>
      <c r="E80" s="1" t="str">
        <f>TEXT(Sales[[#This Row],[Sale_Date]],"DDDD")</f>
        <v>Thursday</v>
      </c>
      <c r="F80" t="s">
        <v>13</v>
      </c>
      <c r="G80" t="s">
        <v>20</v>
      </c>
      <c r="H80" s="2">
        <v>3098.87</v>
      </c>
      <c r="I80">
        <v>39</v>
      </c>
      <c r="J80" t="s">
        <v>25</v>
      </c>
      <c r="K80" s="2">
        <v>3577.69</v>
      </c>
      <c r="L80" s="2">
        <v>3931.25</v>
      </c>
      <c r="M80" t="s">
        <v>16</v>
      </c>
      <c r="N80">
        <v>0.21</v>
      </c>
      <c r="O80" s="2">
        <f>(Sales[[#This Row],[Unit_Price]]-Sales[[#This Row],[Discount]]*Sales[[#This Row],[Unit_Price]])</f>
        <v>3105.6875</v>
      </c>
      <c r="P80" t="s">
        <v>17</v>
      </c>
      <c r="Q80" t="s">
        <v>21</v>
      </c>
      <c r="R80" t="s">
        <v>22</v>
      </c>
    </row>
    <row r="81" spans="1:18" x14ac:dyDescent="0.35">
      <c r="A81">
        <v>1018</v>
      </c>
      <c r="B81" s="1">
        <v>45098</v>
      </c>
      <c r="C81" s="1" t="str">
        <f>TEXT(Sales[[#This Row],[Sale_Date]],"YYYY")</f>
        <v>2023</v>
      </c>
      <c r="D81" s="1" t="str">
        <f>TEXT(Sales[[#This Row],[Sale_Date]],"MMMM")</f>
        <v>June</v>
      </c>
      <c r="E81" s="1" t="str">
        <f>TEXT(Sales[[#This Row],[Sale_Date]],"DDDD")</f>
        <v>Wednesday</v>
      </c>
      <c r="F81" t="s">
        <v>37</v>
      </c>
      <c r="G81" t="s">
        <v>14</v>
      </c>
      <c r="H81" s="2">
        <v>750.38</v>
      </c>
      <c r="I81">
        <v>28</v>
      </c>
      <c r="J81" t="s">
        <v>28</v>
      </c>
      <c r="K81" s="2">
        <v>1006.14</v>
      </c>
      <c r="L81" s="2">
        <v>1043.45</v>
      </c>
      <c r="M81" t="s">
        <v>29</v>
      </c>
      <c r="N81">
        <v>0.15</v>
      </c>
      <c r="O81" s="2">
        <f>(Sales[[#This Row],[Unit_Price]]-Sales[[#This Row],[Discount]]*Sales[[#This Row],[Unit_Price]])</f>
        <v>886.9325</v>
      </c>
      <c r="P81" t="s">
        <v>26</v>
      </c>
      <c r="Q81" t="s">
        <v>21</v>
      </c>
      <c r="R81" t="s">
        <v>39</v>
      </c>
    </row>
    <row r="82" spans="1:18" x14ac:dyDescent="0.35">
      <c r="A82">
        <v>1090</v>
      </c>
      <c r="B82" s="1">
        <v>44939</v>
      </c>
      <c r="C82" s="1" t="str">
        <f>TEXT(Sales[[#This Row],[Sale_Date]],"YYYY")</f>
        <v>2023</v>
      </c>
      <c r="D82" s="1" t="str">
        <f>TEXT(Sales[[#This Row],[Sale_Date]],"MMMM")</f>
        <v>January</v>
      </c>
      <c r="E82" s="1" t="str">
        <f>TEXT(Sales[[#This Row],[Sale_Date]],"DDDD")</f>
        <v>Friday</v>
      </c>
      <c r="F82" t="s">
        <v>41</v>
      </c>
      <c r="G82" t="s">
        <v>33</v>
      </c>
      <c r="H82" s="2">
        <v>2359.5300000000002</v>
      </c>
      <c r="I82">
        <v>17</v>
      </c>
      <c r="J82" t="s">
        <v>28</v>
      </c>
      <c r="K82" s="2">
        <v>2382.98</v>
      </c>
      <c r="L82" s="2">
        <v>2839.73</v>
      </c>
      <c r="M82" t="s">
        <v>16</v>
      </c>
      <c r="N82">
        <v>0.23</v>
      </c>
      <c r="O82" s="2">
        <f>(Sales[[#This Row],[Unit_Price]]-Sales[[#This Row],[Discount]]*Sales[[#This Row],[Unit_Price]])</f>
        <v>2186.5920999999998</v>
      </c>
      <c r="P82" t="s">
        <v>26</v>
      </c>
      <c r="Q82" t="s">
        <v>21</v>
      </c>
      <c r="R82" t="s">
        <v>51</v>
      </c>
    </row>
    <row r="83" spans="1:18" x14ac:dyDescent="0.35">
      <c r="A83">
        <v>1044</v>
      </c>
      <c r="B83" s="1">
        <v>45094</v>
      </c>
      <c r="C83" s="1" t="str">
        <f>TEXT(Sales[[#This Row],[Sale_Date]],"YYYY")</f>
        <v>2023</v>
      </c>
      <c r="D83" s="1" t="str">
        <f>TEXT(Sales[[#This Row],[Sale_Date]],"MMMM")</f>
        <v>June</v>
      </c>
      <c r="E83" s="1" t="str">
        <f>TEXT(Sales[[#This Row],[Sale_Date]],"DDDD")</f>
        <v>Saturday</v>
      </c>
      <c r="F83" t="s">
        <v>32</v>
      </c>
      <c r="G83" t="s">
        <v>14</v>
      </c>
      <c r="H83" s="2">
        <v>2541.38</v>
      </c>
      <c r="I83">
        <v>6</v>
      </c>
      <c r="J83" t="s">
        <v>15</v>
      </c>
      <c r="K83" s="2">
        <v>2388.9499999999998</v>
      </c>
      <c r="L83" s="2">
        <v>2742.97</v>
      </c>
      <c r="M83" t="s">
        <v>16</v>
      </c>
      <c r="N83">
        <v>0.25</v>
      </c>
      <c r="O83" s="2">
        <f>(Sales[[#This Row],[Unit_Price]]-Sales[[#This Row],[Discount]]*Sales[[#This Row],[Unit_Price]])</f>
        <v>2057.2275</v>
      </c>
      <c r="P83" t="s">
        <v>30</v>
      </c>
      <c r="Q83" t="s">
        <v>21</v>
      </c>
      <c r="R83" t="s">
        <v>52</v>
      </c>
    </row>
    <row r="84" spans="1:18" x14ac:dyDescent="0.35">
      <c r="A84">
        <v>1034</v>
      </c>
      <c r="B84" s="1">
        <v>45056</v>
      </c>
      <c r="C84" s="1" t="str">
        <f>TEXT(Sales[[#This Row],[Sale_Date]],"YYYY")</f>
        <v>2023</v>
      </c>
      <c r="D84" s="1" t="str">
        <f>TEXT(Sales[[#This Row],[Sale_Date]],"MMMM")</f>
        <v>May</v>
      </c>
      <c r="E84" s="1" t="str">
        <f>TEXT(Sales[[#This Row],[Sale_Date]],"DDDD")</f>
        <v>Wednesday</v>
      </c>
      <c r="F84" t="s">
        <v>37</v>
      </c>
      <c r="G84" t="s">
        <v>33</v>
      </c>
      <c r="H84" s="2">
        <v>4892.3599999999997</v>
      </c>
      <c r="I84">
        <v>19</v>
      </c>
      <c r="J84" t="s">
        <v>28</v>
      </c>
      <c r="K84" s="2">
        <v>1922.21</v>
      </c>
      <c r="L84" s="2">
        <v>2180.83</v>
      </c>
      <c r="M84" t="s">
        <v>16</v>
      </c>
      <c r="N84">
        <v>0.17</v>
      </c>
      <c r="O84" s="2">
        <f>(Sales[[#This Row],[Unit_Price]]-Sales[[#This Row],[Discount]]*Sales[[#This Row],[Unit_Price]])</f>
        <v>1810.0889</v>
      </c>
      <c r="P84" t="s">
        <v>30</v>
      </c>
      <c r="Q84" t="s">
        <v>21</v>
      </c>
      <c r="R84" t="s">
        <v>47</v>
      </c>
    </row>
    <row r="85" spans="1:18" x14ac:dyDescent="0.35">
      <c r="A85">
        <v>1074</v>
      </c>
      <c r="B85" s="1">
        <v>45010</v>
      </c>
      <c r="C85" s="1" t="str">
        <f>TEXT(Sales[[#This Row],[Sale_Date]],"YYYY")</f>
        <v>2023</v>
      </c>
      <c r="D85" s="1" t="str">
        <f>TEXT(Sales[[#This Row],[Sale_Date]],"MMMM")</f>
        <v>March</v>
      </c>
      <c r="E85" s="1" t="str">
        <f>TEXT(Sales[[#This Row],[Sale_Date]],"DDDD")</f>
        <v>Saturday</v>
      </c>
      <c r="F85" t="s">
        <v>37</v>
      </c>
      <c r="G85" t="s">
        <v>20</v>
      </c>
      <c r="H85" s="2">
        <v>7499.7</v>
      </c>
      <c r="I85">
        <v>38</v>
      </c>
      <c r="J85" t="s">
        <v>25</v>
      </c>
      <c r="K85" s="2">
        <v>2610.6</v>
      </c>
      <c r="L85" s="2">
        <v>2836.94</v>
      </c>
      <c r="M85" t="s">
        <v>16</v>
      </c>
      <c r="N85">
        <v>0.19</v>
      </c>
      <c r="O85" s="2">
        <f>(Sales[[#This Row],[Unit_Price]]-Sales[[#This Row],[Discount]]*Sales[[#This Row],[Unit_Price]])</f>
        <v>2297.9214000000002</v>
      </c>
      <c r="P85" t="s">
        <v>30</v>
      </c>
      <c r="Q85" t="s">
        <v>18</v>
      </c>
      <c r="R85" t="s">
        <v>40</v>
      </c>
    </row>
    <row r="86" spans="1:18" x14ac:dyDescent="0.35">
      <c r="A86">
        <v>1062</v>
      </c>
      <c r="B86" s="1">
        <v>45247</v>
      </c>
      <c r="C86" s="1" t="str">
        <f>TEXT(Sales[[#This Row],[Sale_Date]],"YYYY")</f>
        <v>2023</v>
      </c>
      <c r="D86" s="1" t="str">
        <f>TEXT(Sales[[#This Row],[Sale_Date]],"MMMM")</f>
        <v>November</v>
      </c>
      <c r="E86" s="1" t="str">
        <f>TEXT(Sales[[#This Row],[Sale_Date]],"DDDD")</f>
        <v>Friday</v>
      </c>
      <c r="F86" t="s">
        <v>32</v>
      </c>
      <c r="G86" t="s">
        <v>14</v>
      </c>
      <c r="H86" s="2">
        <v>4790.72</v>
      </c>
      <c r="I86">
        <v>28</v>
      </c>
      <c r="J86" t="s">
        <v>28</v>
      </c>
      <c r="K86" s="2">
        <v>2094.88</v>
      </c>
      <c r="L86" s="2">
        <v>2168.91</v>
      </c>
      <c r="M86" t="s">
        <v>16</v>
      </c>
      <c r="N86">
        <v>0.08</v>
      </c>
      <c r="O86" s="2">
        <f>(Sales[[#This Row],[Unit_Price]]-Sales[[#This Row],[Discount]]*Sales[[#This Row],[Unit_Price]])</f>
        <v>1995.3971999999999</v>
      </c>
      <c r="P86" t="s">
        <v>17</v>
      </c>
      <c r="Q86" t="s">
        <v>21</v>
      </c>
      <c r="R86" t="s">
        <v>52</v>
      </c>
    </row>
    <row r="87" spans="1:18" x14ac:dyDescent="0.35">
      <c r="A87">
        <v>1100</v>
      </c>
      <c r="B87" s="1">
        <v>45245</v>
      </c>
      <c r="C87" s="1" t="str">
        <f>TEXT(Sales[[#This Row],[Sale_Date]],"YYYY")</f>
        <v>2023</v>
      </c>
      <c r="D87" s="1" t="str">
        <f>TEXT(Sales[[#This Row],[Sale_Date]],"MMMM")</f>
        <v>November</v>
      </c>
      <c r="E87" s="1" t="str">
        <f>TEXT(Sales[[#This Row],[Sale_Date]],"DDDD")</f>
        <v>Wednesday</v>
      </c>
      <c r="F87" t="s">
        <v>37</v>
      </c>
      <c r="G87" t="s">
        <v>33</v>
      </c>
      <c r="H87" s="2">
        <v>672.66</v>
      </c>
      <c r="I87">
        <v>2</v>
      </c>
      <c r="J87" t="s">
        <v>15</v>
      </c>
      <c r="K87" s="2">
        <v>1036.76</v>
      </c>
      <c r="L87" s="2">
        <v>1189.3499999999999</v>
      </c>
      <c r="M87" t="s">
        <v>29</v>
      </c>
      <c r="N87">
        <v>0.27</v>
      </c>
      <c r="O87" s="2">
        <f>(Sales[[#This Row],[Unit_Price]]-Sales[[#This Row],[Discount]]*Sales[[#This Row],[Unit_Price]])</f>
        <v>868.2254999999999</v>
      </c>
      <c r="P87" t="s">
        <v>26</v>
      </c>
      <c r="Q87" t="s">
        <v>18</v>
      </c>
      <c r="R87" t="s">
        <v>47</v>
      </c>
    </row>
    <row r="88" spans="1:18" x14ac:dyDescent="0.35">
      <c r="A88">
        <v>1014</v>
      </c>
      <c r="B88" s="1">
        <v>45027</v>
      </c>
      <c r="C88" s="1" t="str">
        <f>TEXT(Sales[[#This Row],[Sale_Date]],"YYYY")</f>
        <v>2023</v>
      </c>
      <c r="D88" s="1" t="str">
        <f>TEXT(Sales[[#This Row],[Sale_Date]],"MMMM")</f>
        <v>April</v>
      </c>
      <c r="E88" s="1" t="str">
        <f>TEXT(Sales[[#This Row],[Sale_Date]],"DDDD")</f>
        <v>Tuesday</v>
      </c>
      <c r="F88" t="s">
        <v>41</v>
      </c>
      <c r="G88" t="s">
        <v>24</v>
      </c>
      <c r="H88" s="2">
        <v>9582.1200000000008</v>
      </c>
      <c r="I88">
        <v>38</v>
      </c>
      <c r="J88" t="s">
        <v>25</v>
      </c>
      <c r="K88" s="2">
        <v>2091.21</v>
      </c>
      <c r="L88" s="2">
        <v>2527</v>
      </c>
      <c r="M88" t="s">
        <v>16</v>
      </c>
      <c r="N88">
        <v>0.01</v>
      </c>
      <c r="O88" s="2">
        <f>(Sales[[#This Row],[Unit_Price]]-Sales[[#This Row],[Discount]]*Sales[[#This Row],[Unit_Price]])</f>
        <v>2501.73</v>
      </c>
      <c r="P88" t="s">
        <v>30</v>
      </c>
      <c r="Q88" t="s">
        <v>18</v>
      </c>
      <c r="R88" t="s">
        <v>42</v>
      </c>
    </row>
    <row r="89" spans="1:18" x14ac:dyDescent="0.35">
      <c r="A89">
        <v>1095</v>
      </c>
      <c r="B89" s="1">
        <v>45255</v>
      </c>
      <c r="C89" s="1" t="str">
        <f>TEXT(Sales[[#This Row],[Sale_Date]],"YYYY")</f>
        <v>2023</v>
      </c>
      <c r="D89" s="1" t="str">
        <f>TEXT(Sales[[#This Row],[Sale_Date]],"MMMM")</f>
        <v>November</v>
      </c>
      <c r="E89" s="1" t="str">
        <f>TEXT(Sales[[#This Row],[Sale_Date]],"DDDD")</f>
        <v>Saturday</v>
      </c>
      <c r="F89" t="s">
        <v>41</v>
      </c>
      <c r="G89" t="s">
        <v>33</v>
      </c>
      <c r="H89" s="2">
        <v>9432.9699999999993</v>
      </c>
      <c r="I89">
        <v>37</v>
      </c>
      <c r="J89" t="s">
        <v>34</v>
      </c>
      <c r="K89" s="2">
        <v>407.77</v>
      </c>
      <c r="L89" s="2">
        <v>860.95</v>
      </c>
      <c r="M89" t="s">
        <v>29</v>
      </c>
      <c r="N89">
        <v>0.1</v>
      </c>
      <c r="O89" s="2">
        <f>(Sales[[#This Row],[Unit_Price]]-Sales[[#This Row],[Discount]]*Sales[[#This Row],[Unit_Price]])</f>
        <v>774.85500000000002</v>
      </c>
      <c r="P89" t="s">
        <v>30</v>
      </c>
      <c r="Q89" t="s">
        <v>21</v>
      </c>
      <c r="R89" t="s">
        <v>51</v>
      </c>
    </row>
    <row r="90" spans="1:18" x14ac:dyDescent="0.35">
      <c r="A90">
        <v>1048</v>
      </c>
      <c r="B90" s="1">
        <v>45199</v>
      </c>
      <c r="C90" s="1" t="str">
        <f>TEXT(Sales[[#This Row],[Sale_Date]],"YYYY")</f>
        <v>2023</v>
      </c>
      <c r="D90" s="1" t="str">
        <f>TEXT(Sales[[#This Row],[Sale_Date]],"MMMM")</f>
        <v>September</v>
      </c>
      <c r="E90" s="1" t="str">
        <f>TEXT(Sales[[#This Row],[Sale_Date]],"DDDD")</f>
        <v>Saturday</v>
      </c>
      <c r="F90" t="s">
        <v>32</v>
      </c>
      <c r="G90" t="s">
        <v>14</v>
      </c>
      <c r="H90" s="2">
        <v>7873.38</v>
      </c>
      <c r="I90">
        <v>4</v>
      </c>
      <c r="J90" t="s">
        <v>15</v>
      </c>
      <c r="K90" s="2">
        <v>2900.14</v>
      </c>
      <c r="L90" s="2">
        <v>2910.5099999999902</v>
      </c>
      <c r="M90" t="s">
        <v>29</v>
      </c>
      <c r="N90">
        <v>0.22</v>
      </c>
      <c r="O90" s="2">
        <f>(Sales[[#This Row],[Unit_Price]]-Sales[[#This Row],[Discount]]*Sales[[#This Row],[Unit_Price]])</f>
        <v>2270.1977999999926</v>
      </c>
      <c r="P90" t="s">
        <v>30</v>
      </c>
      <c r="Q90" t="s">
        <v>21</v>
      </c>
      <c r="R90" t="s">
        <v>52</v>
      </c>
    </row>
    <row r="91" spans="1:18" x14ac:dyDescent="0.35">
      <c r="A91">
        <v>1015</v>
      </c>
      <c r="B91" s="1">
        <v>45191</v>
      </c>
      <c r="C91" s="1" t="str">
        <f>TEXT(Sales[[#This Row],[Sale_Date]],"YYYY")</f>
        <v>2023</v>
      </c>
      <c r="D91" s="1" t="str">
        <f>TEXT(Sales[[#This Row],[Sale_Date]],"MMMM")</f>
        <v>September</v>
      </c>
      <c r="E91" s="1" t="str">
        <f>TEXT(Sales[[#This Row],[Sale_Date]],"DDDD")</f>
        <v>Friday</v>
      </c>
      <c r="F91" t="s">
        <v>23</v>
      </c>
      <c r="G91" t="s">
        <v>24</v>
      </c>
      <c r="H91" s="2">
        <v>9914.15</v>
      </c>
      <c r="I91">
        <v>22</v>
      </c>
      <c r="J91" t="s">
        <v>34</v>
      </c>
      <c r="K91" s="2">
        <v>4275.59</v>
      </c>
      <c r="L91" s="2">
        <v>4576.72</v>
      </c>
      <c r="M91" t="s">
        <v>16</v>
      </c>
      <c r="N91">
        <v>0.02</v>
      </c>
      <c r="O91" s="2">
        <f>(Sales[[#This Row],[Unit_Price]]-Sales[[#This Row],[Discount]]*Sales[[#This Row],[Unit_Price]])</f>
        <v>4485.1856000000007</v>
      </c>
      <c r="P91" t="s">
        <v>17</v>
      </c>
      <c r="Q91" t="s">
        <v>21</v>
      </c>
      <c r="R91" t="s">
        <v>27</v>
      </c>
    </row>
    <row r="92" spans="1:18" x14ac:dyDescent="0.35">
      <c r="A92">
        <v>1072</v>
      </c>
      <c r="B92" s="1">
        <v>44964</v>
      </c>
      <c r="C92" s="1" t="str">
        <f>TEXT(Sales[[#This Row],[Sale_Date]],"YYYY")</f>
        <v>2023</v>
      </c>
      <c r="D92" s="1" t="str">
        <f>TEXT(Sales[[#This Row],[Sale_Date]],"MMMM")</f>
        <v>February</v>
      </c>
      <c r="E92" s="1" t="str">
        <f>TEXT(Sales[[#This Row],[Sale_Date]],"DDDD")</f>
        <v>Tuesday</v>
      </c>
      <c r="F92" t="s">
        <v>13</v>
      </c>
      <c r="G92" t="s">
        <v>33</v>
      </c>
      <c r="H92" s="2">
        <v>5490.38</v>
      </c>
      <c r="I92">
        <v>26</v>
      </c>
      <c r="J92" t="s">
        <v>25</v>
      </c>
      <c r="K92" s="2">
        <v>3640.17</v>
      </c>
      <c r="L92" s="2">
        <v>4002.63</v>
      </c>
      <c r="M92" t="s">
        <v>29</v>
      </c>
      <c r="N92">
        <v>0.05</v>
      </c>
      <c r="O92" s="2">
        <f>(Sales[[#This Row],[Unit_Price]]-Sales[[#This Row],[Discount]]*Sales[[#This Row],[Unit_Price]])</f>
        <v>3802.4985000000001</v>
      </c>
      <c r="P92" t="s">
        <v>30</v>
      </c>
      <c r="Q92" t="s">
        <v>21</v>
      </c>
      <c r="R92" t="s">
        <v>45</v>
      </c>
    </row>
    <row r="93" spans="1:18" x14ac:dyDescent="0.35">
      <c r="A93">
        <v>1078</v>
      </c>
      <c r="B93" s="1">
        <v>45020</v>
      </c>
      <c r="C93" s="1" t="str">
        <f>TEXT(Sales[[#This Row],[Sale_Date]],"YYYY")</f>
        <v>2023</v>
      </c>
      <c r="D93" s="1" t="str">
        <f>TEXT(Sales[[#This Row],[Sale_Date]],"MMMM")</f>
        <v>April</v>
      </c>
      <c r="E93" s="1" t="str">
        <f>TEXT(Sales[[#This Row],[Sale_Date]],"DDDD")</f>
        <v>Tuesday</v>
      </c>
      <c r="F93" t="s">
        <v>23</v>
      </c>
      <c r="G93" t="s">
        <v>33</v>
      </c>
      <c r="H93" s="2">
        <v>9631.41</v>
      </c>
      <c r="I93">
        <v>49</v>
      </c>
      <c r="J93" t="s">
        <v>15</v>
      </c>
      <c r="K93" s="2">
        <v>1833.95</v>
      </c>
      <c r="L93" s="2">
        <v>2147.14</v>
      </c>
      <c r="M93" t="s">
        <v>16</v>
      </c>
      <c r="N93">
        <v>0.18</v>
      </c>
      <c r="O93" s="2">
        <f>(Sales[[#This Row],[Unit_Price]]-Sales[[#This Row],[Discount]]*Sales[[#This Row],[Unit_Price]])</f>
        <v>1760.6547999999998</v>
      </c>
      <c r="P93" t="s">
        <v>30</v>
      </c>
      <c r="Q93" t="s">
        <v>21</v>
      </c>
      <c r="R93" t="s">
        <v>49</v>
      </c>
    </row>
    <row r="94" spans="1:18" x14ac:dyDescent="0.35">
      <c r="A94">
        <v>1087</v>
      </c>
      <c r="B94" s="1">
        <v>45021</v>
      </c>
      <c r="C94" s="1" t="str">
        <f>TEXT(Sales[[#This Row],[Sale_Date]],"YYYY")</f>
        <v>2023</v>
      </c>
      <c r="D94" s="1" t="str">
        <f>TEXT(Sales[[#This Row],[Sale_Date]],"MMMM")</f>
        <v>April</v>
      </c>
      <c r="E94" s="1" t="str">
        <f>TEXT(Sales[[#This Row],[Sale_Date]],"DDDD")</f>
        <v>Wednesday</v>
      </c>
      <c r="F94" t="s">
        <v>37</v>
      </c>
      <c r="G94" t="s">
        <v>33</v>
      </c>
      <c r="H94" s="2">
        <v>848.49</v>
      </c>
      <c r="I94">
        <v>43</v>
      </c>
      <c r="J94" t="s">
        <v>15</v>
      </c>
      <c r="K94" s="2">
        <v>481</v>
      </c>
      <c r="L94" s="2">
        <v>531.02</v>
      </c>
      <c r="M94" t="s">
        <v>29</v>
      </c>
      <c r="N94">
        <v>0.17</v>
      </c>
      <c r="O94" s="2">
        <f>(Sales[[#This Row],[Unit_Price]]-Sales[[#This Row],[Discount]]*Sales[[#This Row],[Unit_Price]])</f>
        <v>440.74659999999994</v>
      </c>
      <c r="P94" t="s">
        <v>17</v>
      </c>
      <c r="Q94" t="s">
        <v>18</v>
      </c>
      <c r="R94" t="s">
        <v>47</v>
      </c>
    </row>
    <row r="95" spans="1:18" x14ac:dyDescent="0.35">
      <c r="A95">
        <v>1062</v>
      </c>
      <c r="B95" s="1">
        <v>45231</v>
      </c>
      <c r="C95" s="1" t="str">
        <f>TEXT(Sales[[#This Row],[Sale_Date]],"YYYY")</f>
        <v>2023</v>
      </c>
      <c r="D95" s="1" t="str">
        <f>TEXT(Sales[[#This Row],[Sale_Date]],"MMMM")</f>
        <v>November</v>
      </c>
      <c r="E95" s="1" t="str">
        <f>TEXT(Sales[[#This Row],[Sale_Date]],"DDDD")</f>
        <v>Wednesday</v>
      </c>
      <c r="F95" t="s">
        <v>13</v>
      </c>
      <c r="G95" t="s">
        <v>33</v>
      </c>
      <c r="H95" s="2">
        <v>3720.24</v>
      </c>
      <c r="I95">
        <v>36</v>
      </c>
      <c r="J95" t="s">
        <v>25</v>
      </c>
      <c r="K95" s="2">
        <v>1050.6400000000001</v>
      </c>
      <c r="L95" s="2">
        <v>1167.33</v>
      </c>
      <c r="M95" t="s">
        <v>29</v>
      </c>
      <c r="N95">
        <v>0.22</v>
      </c>
      <c r="O95" s="2">
        <f>(Sales[[#This Row],[Unit_Price]]-Sales[[#This Row],[Discount]]*Sales[[#This Row],[Unit_Price]])</f>
        <v>910.51739999999995</v>
      </c>
      <c r="P95" t="s">
        <v>17</v>
      </c>
      <c r="Q95" t="s">
        <v>18</v>
      </c>
      <c r="R95" t="s">
        <v>45</v>
      </c>
    </row>
    <row r="96" spans="1:18" x14ac:dyDescent="0.35">
      <c r="A96">
        <v>1040</v>
      </c>
      <c r="B96" s="1">
        <v>44995</v>
      </c>
      <c r="C96" s="1" t="str">
        <f>TEXT(Sales[[#This Row],[Sale_Date]],"YYYY")</f>
        <v>2023</v>
      </c>
      <c r="D96" s="1" t="str">
        <f>TEXT(Sales[[#This Row],[Sale_Date]],"MMMM")</f>
        <v>March</v>
      </c>
      <c r="E96" s="1" t="str">
        <f>TEXT(Sales[[#This Row],[Sale_Date]],"DDDD")</f>
        <v>Friday</v>
      </c>
      <c r="F96" t="s">
        <v>32</v>
      </c>
      <c r="G96" t="s">
        <v>33</v>
      </c>
      <c r="H96" s="2">
        <v>2331.27</v>
      </c>
      <c r="I96">
        <v>13</v>
      </c>
      <c r="J96" t="s">
        <v>28</v>
      </c>
      <c r="K96" s="2">
        <v>2750.18</v>
      </c>
      <c r="L96" s="2">
        <v>2882.85</v>
      </c>
      <c r="M96" t="s">
        <v>16</v>
      </c>
      <c r="N96">
        <v>0.24</v>
      </c>
      <c r="O96" s="2">
        <f>(Sales[[#This Row],[Unit_Price]]-Sales[[#This Row],[Discount]]*Sales[[#This Row],[Unit_Price]])</f>
        <v>2190.9659999999999</v>
      </c>
      <c r="P96" t="s">
        <v>30</v>
      </c>
      <c r="Q96" t="s">
        <v>18</v>
      </c>
      <c r="R96" t="s">
        <v>35</v>
      </c>
    </row>
    <row r="97" spans="1:18" x14ac:dyDescent="0.35">
      <c r="A97">
        <v>1085</v>
      </c>
      <c r="B97" s="1">
        <v>45244</v>
      </c>
      <c r="C97" s="1" t="str">
        <f>TEXT(Sales[[#This Row],[Sale_Date]],"YYYY")</f>
        <v>2023</v>
      </c>
      <c r="D97" s="1" t="str">
        <f>TEXT(Sales[[#This Row],[Sale_Date]],"MMMM")</f>
        <v>November</v>
      </c>
      <c r="E97" s="1" t="str">
        <f>TEXT(Sales[[#This Row],[Sale_Date]],"DDDD")</f>
        <v>Tuesday</v>
      </c>
      <c r="F97" t="s">
        <v>32</v>
      </c>
      <c r="G97" t="s">
        <v>24</v>
      </c>
      <c r="H97" s="2">
        <v>2038.75</v>
      </c>
      <c r="I97">
        <v>32</v>
      </c>
      <c r="J97" t="s">
        <v>15</v>
      </c>
      <c r="K97" s="2">
        <v>1074.93</v>
      </c>
      <c r="L97" s="2">
        <v>1492.48</v>
      </c>
      <c r="M97" t="s">
        <v>16</v>
      </c>
      <c r="N97">
        <v>0.04</v>
      </c>
      <c r="O97" s="2">
        <f>(Sales[[#This Row],[Unit_Price]]-Sales[[#This Row],[Discount]]*Sales[[#This Row],[Unit_Price]])</f>
        <v>1432.7808</v>
      </c>
      <c r="P97" t="s">
        <v>30</v>
      </c>
      <c r="Q97" t="s">
        <v>21</v>
      </c>
      <c r="R97" t="s">
        <v>43</v>
      </c>
    </row>
    <row r="98" spans="1:18" x14ac:dyDescent="0.35">
      <c r="A98">
        <v>1080</v>
      </c>
      <c r="B98" s="1">
        <v>45162</v>
      </c>
      <c r="C98" s="1" t="str">
        <f>TEXT(Sales[[#This Row],[Sale_Date]],"YYYY")</f>
        <v>2023</v>
      </c>
      <c r="D98" s="1" t="str">
        <f>TEXT(Sales[[#This Row],[Sale_Date]],"MMMM")</f>
        <v>August</v>
      </c>
      <c r="E98" s="1" t="str">
        <f>TEXT(Sales[[#This Row],[Sale_Date]],"DDDD")</f>
        <v>Thursday</v>
      </c>
      <c r="F98" t="s">
        <v>13</v>
      </c>
      <c r="G98" t="s">
        <v>20</v>
      </c>
      <c r="H98" s="2">
        <v>1493.95</v>
      </c>
      <c r="I98">
        <v>17</v>
      </c>
      <c r="J98" t="s">
        <v>15</v>
      </c>
      <c r="K98" s="2">
        <v>2742.67</v>
      </c>
      <c r="L98" s="2">
        <v>2979.64</v>
      </c>
      <c r="M98" t="s">
        <v>16</v>
      </c>
      <c r="N98">
        <v>0.01</v>
      </c>
      <c r="O98" s="2">
        <f>(Sales[[#This Row],[Unit_Price]]-Sales[[#This Row],[Discount]]*Sales[[#This Row],[Unit_Price]])</f>
        <v>2949.8435999999997</v>
      </c>
      <c r="P98" t="s">
        <v>17</v>
      </c>
      <c r="Q98" t="s">
        <v>21</v>
      </c>
      <c r="R98" t="s">
        <v>22</v>
      </c>
    </row>
    <row r="99" spans="1:18" x14ac:dyDescent="0.35">
      <c r="A99">
        <v>1082</v>
      </c>
      <c r="B99" s="1">
        <v>45260</v>
      </c>
      <c r="C99" s="1" t="str">
        <f>TEXT(Sales[[#This Row],[Sale_Date]],"YYYY")</f>
        <v>2023</v>
      </c>
      <c r="D99" s="1" t="str">
        <f>TEXT(Sales[[#This Row],[Sale_Date]],"MMMM")</f>
        <v>November</v>
      </c>
      <c r="E99" s="1" t="str">
        <f>TEXT(Sales[[#This Row],[Sale_Date]],"DDDD")</f>
        <v>Thursday</v>
      </c>
      <c r="F99" t="s">
        <v>41</v>
      </c>
      <c r="G99" t="s">
        <v>24</v>
      </c>
      <c r="H99" s="2">
        <v>6261.9</v>
      </c>
      <c r="I99">
        <v>41</v>
      </c>
      <c r="J99" t="s">
        <v>34</v>
      </c>
      <c r="K99" s="2">
        <v>1196.42</v>
      </c>
      <c r="L99" s="2">
        <v>1444.97</v>
      </c>
      <c r="M99" t="s">
        <v>16</v>
      </c>
      <c r="N99">
        <v>0.21</v>
      </c>
      <c r="O99" s="2">
        <f>(Sales[[#This Row],[Unit_Price]]-Sales[[#This Row],[Discount]]*Sales[[#This Row],[Unit_Price]])</f>
        <v>1141.5263</v>
      </c>
      <c r="P99" t="s">
        <v>26</v>
      </c>
      <c r="Q99" t="s">
        <v>18</v>
      </c>
      <c r="R99" t="s">
        <v>42</v>
      </c>
    </row>
    <row r="100" spans="1:18" x14ac:dyDescent="0.35">
      <c r="A100">
        <v>1053</v>
      </c>
      <c r="B100" s="1">
        <v>45063</v>
      </c>
      <c r="C100" s="1" t="str">
        <f>TEXT(Sales[[#This Row],[Sale_Date]],"YYYY")</f>
        <v>2023</v>
      </c>
      <c r="D100" s="1" t="str">
        <f>TEXT(Sales[[#This Row],[Sale_Date]],"MMMM")</f>
        <v>May</v>
      </c>
      <c r="E100" s="1" t="str">
        <f>TEXT(Sales[[#This Row],[Sale_Date]],"DDDD")</f>
        <v>Wednesday</v>
      </c>
      <c r="F100" t="s">
        <v>13</v>
      </c>
      <c r="G100" t="s">
        <v>24</v>
      </c>
      <c r="H100" s="2">
        <v>7835.09</v>
      </c>
      <c r="I100">
        <v>36</v>
      </c>
      <c r="J100" t="s">
        <v>28</v>
      </c>
      <c r="K100" s="2">
        <v>4252.17</v>
      </c>
      <c r="L100" s="2">
        <v>4720.2700000000004</v>
      </c>
      <c r="M100" t="s">
        <v>29</v>
      </c>
      <c r="N100">
        <v>0.09</v>
      </c>
      <c r="O100" s="2">
        <f>(Sales[[#This Row],[Unit_Price]]-Sales[[#This Row],[Discount]]*Sales[[#This Row],[Unit_Price]])</f>
        <v>4295.4457000000002</v>
      </c>
      <c r="P100" t="s">
        <v>17</v>
      </c>
      <c r="Q100" t="s">
        <v>21</v>
      </c>
      <c r="R100" t="s">
        <v>31</v>
      </c>
    </row>
    <row r="101" spans="1:18" x14ac:dyDescent="0.35">
      <c r="A101">
        <v>1024</v>
      </c>
      <c r="B101" s="1">
        <v>45002</v>
      </c>
      <c r="C101" s="1" t="str">
        <f>TEXT(Sales[[#This Row],[Sale_Date]],"YYYY")</f>
        <v>2023</v>
      </c>
      <c r="D101" s="1" t="str">
        <f>TEXT(Sales[[#This Row],[Sale_Date]],"MMMM")</f>
        <v>March</v>
      </c>
      <c r="E101" s="1" t="str">
        <f>TEXT(Sales[[#This Row],[Sale_Date]],"DDDD")</f>
        <v>Friday</v>
      </c>
      <c r="F101" t="s">
        <v>37</v>
      </c>
      <c r="G101" t="s">
        <v>24</v>
      </c>
      <c r="H101" s="2">
        <v>5825.15</v>
      </c>
      <c r="I101">
        <v>46</v>
      </c>
      <c r="J101" t="s">
        <v>34</v>
      </c>
      <c r="K101" s="2">
        <v>2016.49</v>
      </c>
      <c r="L101" s="2">
        <v>2338.66</v>
      </c>
      <c r="M101" t="s">
        <v>16</v>
      </c>
      <c r="N101">
        <v>0.19</v>
      </c>
      <c r="O101" s="2">
        <f>(Sales[[#This Row],[Unit_Price]]-Sales[[#This Row],[Discount]]*Sales[[#This Row],[Unit_Price]])</f>
        <v>1894.3145999999999</v>
      </c>
      <c r="P101" t="s">
        <v>26</v>
      </c>
      <c r="Q101" t="s">
        <v>21</v>
      </c>
      <c r="R101" t="s">
        <v>38</v>
      </c>
    </row>
    <row r="102" spans="1:18" x14ac:dyDescent="0.35">
      <c r="A102">
        <v>1026</v>
      </c>
      <c r="B102" s="1">
        <v>44961</v>
      </c>
      <c r="C102" s="1" t="str">
        <f>TEXT(Sales[[#This Row],[Sale_Date]],"YYYY")</f>
        <v>2023</v>
      </c>
      <c r="D102" s="1" t="str">
        <f>TEXT(Sales[[#This Row],[Sale_Date]],"MMMM")</f>
        <v>February</v>
      </c>
      <c r="E102" s="1" t="str">
        <f>TEXT(Sales[[#This Row],[Sale_Date]],"DDDD")</f>
        <v>Saturday</v>
      </c>
      <c r="F102" t="s">
        <v>41</v>
      </c>
      <c r="G102" t="s">
        <v>20</v>
      </c>
      <c r="H102" s="2">
        <v>1554.93</v>
      </c>
      <c r="I102">
        <v>19</v>
      </c>
      <c r="J102" t="s">
        <v>34</v>
      </c>
      <c r="K102" s="2">
        <v>1265.48</v>
      </c>
      <c r="L102" s="2">
        <v>1715.83</v>
      </c>
      <c r="M102" t="s">
        <v>29</v>
      </c>
      <c r="N102">
        <v>0.05</v>
      </c>
      <c r="O102" s="2">
        <f>(Sales[[#This Row],[Unit_Price]]-Sales[[#This Row],[Discount]]*Sales[[#This Row],[Unit_Price]])</f>
        <v>1630.0384999999999</v>
      </c>
      <c r="P102" t="s">
        <v>30</v>
      </c>
      <c r="Q102" t="s">
        <v>21</v>
      </c>
      <c r="R102" t="s">
        <v>50</v>
      </c>
    </row>
    <row r="103" spans="1:18" x14ac:dyDescent="0.35">
      <c r="A103">
        <v>1089</v>
      </c>
      <c r="B103" s="1">
        <v>44927</v>
      </c>
      <c r="C103" s="1" t="str">
        <f>TEXT(Sales[[#This Row],[Sale_Date]],"YYYY")</f>
        <v>2023</v>
      </c>
      <c r="D103" s="1" t="str">
        <f>TEXT(Sales[[#This Row],[Sale_Date]],"MMMM")</f>
        <v>January</v>
      </c>
      <c r="E103" s="1" t="str">
        <f>TEXT(Sales[[#This Row],[Sale_Date]],"DDDD")</f>
        <v>Sunday</v>
      </c>
      <c r="F103" t="s">
        <v>32</v>
      </c>
      <c r="G103" t="s">
        <v>14</v>
      </c>
      <c r="H103" s="2">
        <v>8130.13</v>
      </c>
      <c r="I103">
        <v>35</v>
      </c>
      <c r="J103" t="s">
        <v>28</v>
      </c>
      <c r="K103" s="2">
        <v>4071.01</v>
      </c>
      <c r="L103" s="2">
        <v>4304.7</v>
      </c>
      <c r="M103" t="s">
        <v>29</v>
      </c>
      <c r="N103">
        <v>0.14000000000000001</v>
      </c>
      <c r="O103" s="2">
        <f>(Sales[[#This Row],[Unit_Price]]-Sales[[#This Row],[Discount]]*Sales[[#This Row],[Unit_Price]])</f>
        <v>3702.0419999999999</v>
      </c>
      <c r="P103" t="s">
        <v>30</v>
      </c>
      <c r="Q103" t="s">
        <v>18</v>
      </c>
      <c r="R103" t="s">
        <v>52</v>
      </c>
    </row>
    <row r="104" spans="1:18" x14ac:dyDescent="0.35">
      <c r="A104">
        <v>1060</v>
      </c>
      <c r="B104" s="1">
        <v>45222</v>
      </c>
      <c r="C104" s="1" t="str">
        <f>TEXT(Sales[[#This Row],[Sale_Date]],"YYYY")</f>
        <v>2023</v>
      </c>
      <c r="D104" s="1" t="str">
        <f>TEXT(Sales[[#This Row],[Sale_Date]],"MMMM")</f>
        <v>October</v>
      </c>
      <c r="E104" s="1" t="str">
        <f>TEXT(Sales[[#This Row],[Sale_Date]],"DDDD")</f>
        <v>Monday</v>
      </c>
      <c r="F104" t="s">
        <v>13</v>
      </c>
      <c r="G104" t="s">
        <v>20</v>
      </c>
      <c r="H104" s="2">
        <v>6395.95</v>
      </c>
      <c r="I104">
        <v>46</v>
      </c>
      <c r="J104" t="s">
        <v>28</v>
      </c>
      <c r="K104" s="2">
        <v>1747.05</v>
      </c>
      <c r="L104" s="2">
        <v>1830.27</v>
      </c>
      <c r="M104" t="s">
        <v>29</v>
      </c>
      <c r="N104">
        <v>0.15</v>
      </c>
      <c r="O104" s="2">
        <f>(Sales[[#This Row],[Unit_Price]]-Sales[[#This Row],[Discount]]*Sales[[#This Row],[Unit_Price]])</f>
        <v>1555.7294999999999</v>
      </c>
      <c r="P104" t="s">
        <v>26</v>
      </c>
      <c r="Q104" t="s">
        <v>21</v>
      </c>
      <c r="R104" t="s">
        <v>22</v>
      </c>
    </row>
    <row r="105" spans="1:18" x14ac:dyDescent="0.35">
      <c r="A105">
        <v>1041</v>
      </c>
      <c r="B105" s="1">
        <v>45246</v>
      </c>
      <c r="C105" s="1" t="str">
        <f>TEXT(Sales[[#This Row],[Sale_Date]],"YYYY")</f>
        <v>2023</v>
      </c>
      <c r="D105" s="1" t="str">
        <f>TEXT(Sales[[#This Row],[Sale_Date]],"MMMM")</f>
        <v>November</v>
      </c>
      <c r="E105" s="1" t="str">
        <f>TEXT(Sales[[#This Row],[Sale_Date]],"DDDD")</f>
        <v>Thursday</v>
      </c>
      <c r="F105" t="s">
        <v>23</v>
      </c>
      <c r="G105" t="s">
        <v>24</v>
      </c>
      <c r="H105" s="2">
        <v>3942.84</v>
      </c>
      <c r="I105">
        <v>40</v>
      </c>
      <c r="J105" t="s">
        <v>25</v>
      </c>
      <c r="K105" s="2">
        <v>601.86</v>
      </c>
      <c r="L105" s="2">
        <v>1067.53</v>
      </c>
      <c r="M105" t="s">
        <v>29</v>
      </c>
      <c r="N105">
        <v>0.18</v>
      </c>
      <c r="O105" s="2">
        <f>(Sales[[#This Row],[Unit_Price]]-Sales[[#This Row],[Discount]]*Sales[[#This Row],[Unit_Price]])</f>
        <v>875.37459999999999</v>
      </c>
      <c r="P105" t="s">
        <v>17</v>
      </c>
      <c r="Q105" t="s">
        <v>18</v>
      </c>
      <c r="R105" t="s">
        <v>27</v>
      </c>
    </row>
    <row r="106" spans="1:18" x14ac:dyDescent="0.35">
      <c r="A106">
        <v>1029</v>
      </c>
      <c r="B106" s="1">
        <v>44986</v>
      </c>
      <c r="C106" s="1" t="str">
        <f>TEXT(Sales[[#This Row],[Sale_Date]],"YYYY")</f>
        <v>2023</v>
      </c>
      <c r="D106" s="1" t="str">
        <f>TEXT(Sales[[#This Row],[Sale_Date]],"MMMM")</f>
        <v>March</v>
      </c>
      <c r="E106" s="1" t="str">
        <f>TEXT(Sales[[#This Row],[Sale_Date]],"DDDD")</f>
        <v>Wednesday</v>
      </c>
      <c r="F106" t="s">
        <v>23</v>
      </c>
      <c r="G106" t="s">
        <v>33</v>
      </c>
      <c r="H106" s="2">
        <v>6773.89</v>
      </c>
      <c r="I106">
        <v>28</v>
      </c>
      <c r="J106" t="s">
        <v>28</v>
      </c>
      <c r="K106" s="2">
        <v>2873.53</v>
      </c>
      <c r="L106" s="2">
        <v>3108.3</v>
      </c>
      <c r="M106" t="s">
        <v>29</v>
      </c>
      <c r="N106">
        <v>0.15</v>
      </c>
      <c r="O106" s="2">
        <f>(Sales[[#This Row],[Unit_Price]]-Sales[[#This Row],[Discount]]*Sales[[#This Row],[Unit_Price]])</f>
        <v>2642.0550000000003</v>
      </c>
      <c r="P106" t="s">
        <v>30</v>
      </c>
      <c r="Q106" t="s">
        <v>21</v>
      </c>
      <c r="R106" t="s">
        <v>49</v>
      </c>
    </row>
    <row r="107" spans="1:18" x14ac:dyDescent="0.35">
      <c r="A107">
        <v>1015</v>
      </c>
      <c r="B107" s="1">
        <v>45246</v>
      </c>
      <c r="C107" s="1" t="str">
        <f>TEXT(Sales[[#This Row],[Sale_Date]],"YYYY")</f>
        <v>2023</v>
      </c>
      <c r="D107" s="1" t="str">
        <f>TEXT(Sales[[#This Row],[Sale_Date]],"MMMM")</f>
        <v>November</v>
      </c>
      <c r="E107" s="1" t="str">
        <f>TEXT(Sales[[#This Row],[Sale_Date]],"DDDD")</f>
        <v>Thursday</v>
      </c>
      <c r="F107" t="s">
        <v>37</v>
      </c>
      <c r="G107" t="s">
        <v>33</v>
      </c>
      <c r="H107" s="2">
        <v>2673.06</v>
      </c>
      <c r="I107">
        <v>1</v>
      </c>
      <c r="J107" t="s">
        <v>15</v>
      </c>
      <c r="K107" s="2">
        <v>2928.74</v>
      </c>
      <c r="L107" s="2">
        <v>3027.74</v>
      </c>
      <c r="M107" t="s">
        <v>29</v>
      </c>
      <c r="N107">
        <v>0.15</v>
      </c>
      <c r="O107" s="2">
        <f>(Sales[[#This Row],[Unit_Price]]-Sales[[#This Row],[Discount]]*Sales[[#This Row],[Unit_Price]])</f>
        <v>2573.5789999999997</v>
      </c>
      <c r="P107" t="s">
        <v>26</v>
      </c>
      <c r="Q107" t="s">
        <v>21</v>
      </c>
      <c r="R107" t="s">
        <v>47</v>
      </c>
    </row>
    <row r="108" spans="1:18" x14ac:dyDescent="0.35">
      <c r="A108">
        <v>1045</v>
      </c>
      <c r="B108" s="1">
        <v>45275</v>
      </c>
      <c r="C108" s="1" t="str">
        <f>TEXT(Sales[[#This Row],[Sale_Date]],"YYYY")</f>
        <v>2023</v>
      </c>
      <c r="D108" s="1" t="str">
        <f>TEXT(Sales[[#This Row],[Sale_Date]],"MMMM")</f>
        <v>December</v>
      </c>
      <c r="E108" s="1" t="str">
        <f>TEXT(Sales[[#This Row],[Sale_Date]],"DDDD")</f>
        <v>Friday</v>
      </c>
      <c r="F108" t="s">
        <v>23</v>
      </c>
      <c r="G108" t="s">
        <v>24</v>
      </c>
      <c r="H108" s="2">
        <v>3517.4</v>
      </c>
      <c r="I108">
        <v>42</v>
      </c>
      <c r="J108" t="s">
        <v>28</v>
      </c>
      <c r="K108" s="2">
        <v>3587.74</v>
      </c>
      <c r="L108" s="2">
        <v>3745.91</v>
      </c>
      <c r="M108" t="s">
        <v>16</v>
      </c>
      <c r="N108">
        <v>0.1</v>
      </c>
      <c r="O108" s="2">
        <f>(Sales[[#This Row],[Unit_Price]]-Sales[[#This Row],[Discount]]*Sales[[#This Row],[Unit_Price]])</f>
        <v>3371.319</v>
      </c>
      <c r="P108" t="s">
        <v>17</v>
      </c>
      <c r="Q108" t="s">
        <v>18</v>
      </c>
      <c r="R108" t="s">
        <v>27</v>
      </c>
    </row>
    <row r="109" spans="1:18" x14ac:dyDescent="0.35">
      <c r="A109">
        <v>1065</v>
      </c>
      <c r="B109" s="1">
        <v>45254</v>
      </c>
      <c r="C109" s="1" t="str">
        <f>TEXT(Sales[[#This Row],[Sale_Date]],"YYYY")</f>
        <v>2023</v>
      </c>
      <c r="D109" s="1" t="str">
        <f>TEXT(Sales[[#This Row],[Sale_Date]],"MMMM")</f>
        <v>November</v>
      </c>
      <c r="E109" s="1" t="str">
        <f>TEXT(Sales[[#This Row],[Sale_Date]],"DDDD")</f>
        <v>Friday</v>
      </c>
      <c r="F109" t="s">
        <v>13</v>
      </c>
      <c r="G109" t="s">
        <v>33</v>
      </c>
      <c r="H109" s="2">
        <v>9183.11</v>
      </c>
      <c r="I109">
        <v>18</v>
      </c>
      <c r="J109" t="s">
        <v>25</v>
      </c>
      <c r="K109" s="2">
        <v>1239.0899999999999</v>
      </c>
      <c r="L109" s="2">
        <v>1273.98</v>
      </c>
      <c r="M109" t="s">
        <v>29</v>
      </c>
      <c r="N109">
        <v>0.02</v>
      </c>
      <c r="O109" s="2">
        <f>(Sales[[#This Row],[Unit_Price]]-Sales[[#This Row],[Discount]]*Sales[[#This Row],[Unit_Price]])</f>
        <v>1248.5004000000001</v>
      </c>
      <c r="P109" t="s">
        <v>26</v>
      </c>
      <c r="Q109" t="s">
        <v>21</v>
      </c>
      <c r="R109" t="s">
        <v>45</v>
      </c>
    </row>
    <row r="110" spans="1:18" x14ac:dyDescent="0.35">
      <c r="A110">
        <v>1089</v>
      </c>
      <c r="B110" s="1">
        <v>45193</v>
      </c>
      <c r="C110" s="1" t="str">
        <f>TEXT(Sales[[#This Row],[Sale_Date]],"YYYY")</f>
        <v>2023</v>
      </c>
      <c r="D110" s="1" t="str">
        <f>TEXT(Sales[[#This Row],[Sale_Date]],"MMMM")</f>
        <v>September</v>
      </c>
      <c r="E110" s="1" t="str">
        <f>TEXT(Sales[[#This Row],[Sale_Date]],"DDDD")</f>
        <v>Sunday</v>
      </c>
      <c r="F110" t="s">
        <v>13</v>
      </c>
      <c r="G110" t="s">
        <v>24</v>
      </c>
      <c r="H110" s="2">
        <v>2975.99</v>
      </c>
      <c r="I110">
        <v>48</v>
      </c>
      <c r="J110" t="s">
        <v>25</v>
      </c>
      <c r="K110" s="2">
        <v>2246.67</v>
      </c>
      <c r="L110" s="2">
        <v>2486.14</v>
      </c>
      <c r="M110" t="s">
        <v>29</v>
      </c>
      <c r="N110">
        <v>0.03</v>
      </c>
      <c r="O110" s="2">
        <f>(Sales[[#This Row],[Unit_Price]]-Sales[[#This Row],[Discount]]*Sales[[#This Row],[Unit_Price]])</f>
        <v>2411.5558000000001</v>
      </c>
      <c r="P110" t="s">
        <v>17</v>
      </c>
      <c r="Q110" t="s">
        <v>21</v>
      </c>
      <c r="R110" t="s">
        <v>31</v>
      </c>
    </row>
    <row r="111" spans="1:18" x14ac:dyDescent="0.35">
      <c r="A111">
        <v>1071</v>
      </c>
      <c r="B111" s="1">
        <v>45287</v>
      </c>
      <c r="C111" s="1" t="str">
        <f>TEXT(Sales[[#This Row],[Sale_Date]],"YYYY")</f>
        <v>2023</v>
      </c>
      <c r="D111" s="1" t="str">
        <f>TEXT(Sales[[#This Row],[Sale_Date]],"MMMM")</f>
        <v>December</v>
      </c>
      <c r="E111" s="1" t="str">
        <f>TEXT(Sales[[#This Row],[Sale_Date]],"DDDD")</f>
        <v>Wednesday</v>
      </c>
      <c r="F111" t="s">
        <v>23</v>
      </c>
      <c r="G111" t="s">
        <v>33</v>
      </c>
      <c r="H111" s="2">
        <v>4752.88</v>
      </c>
      <c r="I111">
        <v>40</v>
      </c>
      <c r="J111" t="s">
        <v>25</v>
      </c>
      <c r="K111" s="2">
        <v>1447.72</v>
      </c>
      <c r="L111" s="2">
        <v>1875.75</v>
      </c>
      <c r="M111" t="s">
        <v>29</v>
      </c>
      <c r="N111">
        <v>0.13</v>
      </c>
      <c r="O111" s="2">
        <f>(Sales[[#This Row],[Unit_Price]]-Sales[[#This Row],[Discount]]*Sales[[#This Row],[Unit_Price]])</f>
        <v>1631.9024999999999</v>
      </c>
      <c r="P111" t="s">
        <v>17</v>
      </c>
      <c r="Q111" t="s">
        <v>21</v>
      </c>
      <c r="R111" t="s">
        <v>49</v>
      </c>
    </row>
    <row r="112" spans="1:18" x14ac:dyDescent="0.35">
      <c r="A112">
        <v>1009</v>
      </c>
      <c r="B112" s="1">
        <v>45155</v>
      </c>
      <c r="C112" s="1" t="str">
        <f>TEXT(Sales[[#This Row],[Sale_Date]],"YYYY")</f>
        <v>2023</v>
      </c>
      <c r="D112" s="1" t="str">
        <f>TEXT(Sales[[#This Row],[Sale_Date]],"MMMM")</f>
        <v>August</v>
      </c>
      <c r="E112" s="1" t="str">
        <f>TEXT(Sales[[#This Row],[Sale_Date]],"DDDD")</f>
        <v>Thursday</v>
      </c>
      <c r="F112" t="s">
        <v>13</v>
      </c>
      <c r="G112" t="s">
        <v>20</v>
      </c>
      <c r="H112" s="2">
        <v>8912.4</v>
      </c>
      <c r="I112">
        <v>33</v>
      </c>
      <c r="J112" t="s">
        <v>28</v>
      </c>
      <c r="K112" s="2">
        <v>450.72</v>
      </c>
      <c r="L112" s="2">
        <v>918.17</v>
      </c>
      <c r="M112" t="s">
        <v>16</v>
      </c>
      <c r="N112">
        <v>0.11</v>
      </c>
      <c r="O112" s="2">
        <f>(Sales[[#This Row],[Unit_Price]]-Sales[[#This Row],[Discount]]*Sales[[#This Row],[Unit_Price]])</f>
        <v>817.17129999999997</v>
      </c>
      <c r="P112" t="s">
        <v>17</v>
      </c>
      <c r="Q112" t="s">
        <v>18</v>
      </c>
      <c r="R112" t="s">
        <v>22</v>
      </c>
    </row>
    <row r="113" spans="1:18" x14ac:dyDescent="0.35">
      <c r="A113">
        <v>1088</v>
      </c>
      <c r="B113" s="1">
        <v>45196</v>
      </c>
      <c r="C113" s="1" t="str">
        <f>TEXT(Sales[[#This Row],[Sale_Date]],"YYYY")</f>
        <v>2023</v>
      </c>
      <c r="D113" s="1" t="str">
        <f>TEXT(Sales[[#This Row],[Sale_Date]],"MMMM")</f>
        <v>September</v>
      </c>
      <c r="E113" s="1" t="str">
        <f>TEXT(Sales[[#This Row],[Sale_Date]],"DDDD")</f>
        <v>Wednesday</v>
      </c>
      <c r="F113" t="s">
        <v>37</v>
      </c>
      <c r="G113" t="s">
        <v>14</v>
      </c>
      <c r="H113" s="2">
        <v>7106.44</v>
      </c>
      <c r="I113">
        <v>12</v>
      </c>
      <c r="J113" t="s">
        <v>28</v>
      </c>
      <c r="K113" s="2">
        <v>4389.24</v>
      </c>
      <c r="L113" s="2">
        <v>4856.2199999999903</v>
      </c>
      <c r="M113" t="s">
        <v>16</v>
      </c>
      <c r="N113">
        <v>0.15</v>
      </c>
      <c r="O113" s="2">
        <f>(Sales[[#This Row],[Unit_Price]]-Sales[[#This Row],[Discount]]*Sales[[#This Row],[Unit_Price]])</f>
        <v>4127.7869999999921</v>
      </c>
      <c r="P113" t="s">
        <v>17</v>
      </c>
      <c r="Q113" t="s">
        <v>21</v>
      </c>
      <c r="R113" t="s">
        <v>39</v>
      </c>
    </row>
    <row r="114" spans="1:18" x14ac:dyDescent="0.35">
      <c r="A114">
        <v>1001</v>
      </c>
      <c r="B114" s="1">
        <v>45242</v>
      </c>
      <c r="C114" s="1" t="str">
        <f>TEXT(Sales[[#This Row],[Sale_Date]],"YYYY")</f>
        <v>2023</v>
      </c>
      <c r="D114" s="1" t="str">
        <f>TEXT(Sales[[#This Row],[Sale_Date]],"MMMM")</f>
        <v>November</v>
      </c>
      <c r="E114" s="1" t="str">
        <f>TEXT(Sales[[#This Row],[Sale_Date]],"DDDD")</f>
        <v>Sunday</v>
      </c>
      <c r="F114" t="s">
        <v>41</v>
      </c>
      <c r="G114" t="s">
        <v>14</v>
      </c>
      <c r="H114" s="2">
        <v>715.81</v>
      </c>
      <c r="I114">
        <v>8</v>
      </c>
      <c r="J114" t="s">
        <v>34</v>
      </c>
      <c r="K114" s="2">
        <v>3657.91</v>
      </c>
      <c r="L114" s="2">
        <v>3729.27</v>
      </c>
      <c r="M114" t="s">
        <v>29</v>
      </c>
      <c r="N114">
        <v>0.09</v>
      </c>
      <c r="O114" s="2">
        <f>(Sales[[#This Row],[Unit_Price]]-Sales[[#This Row],[Discount]]*Sales[[#This Row],[Unit_Price]])</f>
        <v>3393.6356999999998</v>
      </c>
      <c r="P114" t="s">
        <v>26</v>
      </c>
      <c r="Q114" t="s">
        <v>21</v>
      </c>
      <c r="R114" t="s">
        <v>48</v>
      </c>
    </row>
    <row r="115" spans="1:18" x14ac:dyDescent="0.35">
      <c r="A115">
        <v>1008</v>
      </c>
      <c r="B115" s="1">
        <v>45212</v>
      </c>
      <c r="C115" s="1" t="str">
        <f>TEXT(Sales[[#This Row],[Sale_Date]],"YYYY")</f>
        <v>2023</v>
      </c>
      <c r="D115" s="1" t="str">
        <f>TEXT(Sales[[#This Row],[Sale_Date]],"MMMM")</f>
        <v>October</v>
      </c>
      <c r="E115" s="1" t="str">
        <f>TEXT(Sales[[#This Row],[Sale_Date]],"DDDD")</f>
        <v>Friday</v>
      </c>
      <c r="F115" t="s">
        <v>37</v>
      </c>
      <c r="G115" t="s">
        <v>20</v>
      </c>
      <c r="H115" s="2">
        <v>1558.3</v>
      </c>
      <c r="I115">
        <v>24</v>
      </c>
      <c r="J115" t="s">
        <v>34</v>
      </c>
      <c r="K115" s="2">
        <v>1542.24</v>
      </c>
      <c r="L115" s="2">
        <v>1739.45</v>
      </c>
      <c r="M115" t="s">
        <v>16</v>
      </c>
      <c r="N115">
        <v>0.21</v>
      </c>
      <c r="O115" s="2">
        <f>(Sales[[#This Row],[Unit_Price]]-Sales[[#This Row],[Discount]]*Sales[[#This Row],[Unit_Price]])</f>
        <v>1374.1655000000001</v>
      </c>
      <c r="P115" t="s">
        <v>26</v>
      </c>
      <c r="Q115" t="s">
        <v>21</v>
      </c>
      <c r="R115" t="s">
        <v>40</v>
      </c>
    </row>
    <row r="116" spans="1:18" x14ac:dyDescent="0.35">
      <c r="A116">
        <v>1088</v>
      </c>
      <c r="B116" s="1">
        <v>45217</v>
      </c>
      <c r="C116" s="1" t="str">
        <f>TEXT(Sales[[#This Row],[Sale_Date]],"YYYY")</f>
        <v>2023</v>
      </c>
      <c r="D116" s="1" t="str">
        <f>TEXT(Sales[[#This Row],[Sale_Date]],"MMMM")</f>
        <v>October</v>
      </c>
      <c r="E116" s="1" t="str">
        <f>TEXT(Sales[[#This Row],[Sale_Date]],"DDDD")</f>
        <v>Wednesday</v>
      </c>
      <c r="F116" t="s">
        <v>37</v>
      </c>
      <c r="G116" t="s">
        <v>20</v>
      </c>
      <c r="H116" s="2">
        <v>177.63</v>
      </c>
      <c r="I116">
        <v>16</v>
      </c>
      <c r="J116" t="s">
        <v>15</v>
      </c>
      <c r="K116" s="2">
        <v>3016.9</v>
      </c>
      <c r="L116" s="2">
        <v>3040.73</v>
      </c>
      <c r="M116" t="s">
        <v>29</v>
      </c>
      <c r="N116">
        <v>0.26</v>
      </c>
      <c r="O116" s="2">
        <f>(Sales[[#This Row],[Unit_Price]]-Sales[[#This Row],[Discount]]*Sales[[#This Row],[Unit_Price]])</f>
        <v>2250.1401999999998</v>
      </c>
      <c r="P116" t="s">
        <v>26</v>
      </c>
      <c r="Q116" t="s">
        <v>21</v>
      </c>
      <c r="R116" t="s">
        <v>40</v>
      </c>
    </row>
    <row r="117" spans="1:18" x14ac:dyDescent="0.35">
      <c r="A117">
        <v>1063</v>
      </c>
      <c r="B117" s="1">
        <v>45139</v>
      </c>
      <c r="C117" s="1" t="str">
        <f>TEXT(Sales[[#This Row],[Sale_Date]],"YYYY")</f>
        <v>2023</v>
      </c>
      <c r="D117" s="1" t="str">
        <f>TEXT(Sales[[#This Row],[Sale_Date]],"MMMM")</f>
        <v>August</v>
      </c>
      <c r="E117" s="1" t="str">
        <f>TEXT(Sales[[#This Row],[Sale_Date]],"DDDD")</f>
        <v>Tuesday</v>
      </c>
      <c r="F117" t="s">
        <v>13</v>
      </c>
      <c r="G117" t="s">
        <v>24</v>
      </c>
      <c r="H117" s="2">
        <v>6346.13</v>
      </c>
      <c r="I117">
        <v>4</v>
      </c>
      <c r="J117" t="s">
        <v>34</v>
      </c>
      <c r="K117" s="2">
        <v>1046.26</v>
      </c>
      <c r="L117" s="2">
        <v>1475.29</v>
      </c>
      <c r="M117" t="s">
        <v>16</v>
      </c>
      <c r="N117">
        <v>0.09</v>
      </c>
      <c r="O117" s="2">
        <f>(Sales[[#This Row],[Unit_Price]]-Sales[[#This Row],[Discount]]*Sales[[#This Row],[Unit_Price]])</f>
        <v>1342.5138999999999</v>
      </c>
      <c r="P117" t="s">
        <v>26</v>
      </c>
      <c r="Q117" t="s">
        <v>21</v>
      </c>
      <c r="R117" t="s">
        <v>31</v>
      </c>
    </row>
    <row r="118" spans="1:18" x14ac:dyDescent="0.35">
      <c r="A118">
        <v>1011</v>
      </c>
      <c r="B118" s="1">
        <v>45091</v>
      </c>
      <c r="C118" s="1" t="str">
        <f>TEXT(Sales[[#This Row],[Sale_Date]],"YYYY")</f>
        <v>2023</v>
      </c>
      <c r="D118" s="1" t="str">
        <f>TEXT(Sales[[#This Row],[Sale_Date]],"MMMM")</f>
        <v>June</v>
      </c>
      <c r="E118" s="1" t="str">
        <f>TEXT(Sales[[#This Row],[Sale_Date]],"DDDD")</f>
        <v>Wednesday</v>
      </c>
      <c r="F118" t="s">
        <v>41</v>
      </c>
      <c r="G118" t="s">
        <v>24</v>
      </c>
      <c r="H118" s="2">
        <v>4531.97</v>
      </c>
      <c r="I118">
        <v>38</v>
      </c>
      <c r="J118" t="s">
        <v>15</v>
      </c>
      <c r="K118" s="2">
        <v>4456.67</v>
      </c>
      <c r="L118" s="2">
        <v>4642.46</v>
      </c>
      <c r="M118" t="s">
        <v>29</v>
      </c>
      <c r="N118">
        <v>0.06</v>
      </c>
      <c r="O118" s="2">
        <f>(Sales[[#This Row],[Unit_Price]]-Sales[[#This Row],[Discount]]*Sales[[#This Row],[Unit_Price]])</f>
        <v>4363.9124000000002</v>
      </c>
      <c r="P118" t="s">
        <v>26</v>
      </c>
      <c r="Q118" t="s">
        <v>18</v>
      </c>
      <c r="R118" t="s">
        <v>42</v>
      </c>
    </row>
    <row r="119" spans="1:18" x14ac:dyDescent="0.35">
      <c r="A119">
        <v>1081</v>
      </c>
      <c r="B119" s="1">
        <v>44931</v>
      </c>
      <c r="C119" s="1" t="str">
        <f>TEXT(Sales[[#This Row],[Sale_Date]],"YYYY")</f>
        <v>2023</v>
      </c>
      <c r="D119" s="1" t="str">
        <f>TEXT(Sales[[#This Row],[Sale_Date]],"MMMM")</f>
        <v>January</v>
      </c>
      <c r="E119" s="1" t="str">
        <f>TEXT(Sales[[#This Row],[Sale_Date]],"DDDD")</f>
        <v>Thursday</v>
      </c>
      <c r="F119" t="s">
        <v>13</v>
      </c>
      <c r="G119" t="s">
        <v>24</v>
      </c>
      <c r="H119" s="2">
        <v>1429.32</v>
      </c>
      <c r="I119">
        <v>44</v>
      </c>
      <c r="J119" t="s">
        <v>25</v>
      </c>
      <c r="K119" s="2">
        <v>618.79</v>
      </c>
      <c r="L119" s="2">
        <v>938.04</v>
      </c>
      <c r="M119" t="s">
        <v>16</v>
      </c>
      <c r="N119">
        <v>0.03</v>
      </c>
      <c r="O119" s="2">
        <f>(Sales[[#This Row],[Unit_Price]]-Sales[[#This Row],[Discount]]*Sales[[#This Row],[Unit_Price]])</f>
        <v>909.89879999999994</v>
      </c>
      <c r="P119" t="s">
        <v>17</v>
      </c>
      <c r="Q119" t="s">
        <v>18</v>
      </c>
      <c r="R119" t="s">
        <v>31</v>
      </c>
    </row>
    <row r="120" spans="1:18" x14ac:dyDescent="0.35">
      <c r="A120">
        <v>1008</v>
      </c>
      <c r="B120" s="1">
        <v>45265</v>
      </c>
      <c r="C120" s="1" t="str">
        <f>TEXT(Sales[[#This Row],[Sale_Date]],"YYYY")</f>
        <v>2023</v>
      </c>
      <c r="D120" s="1" t="str">
        <f>TEXT(Sales[[#This Row],[Sale_Date]],"MMMM")</f>
        <v>December</v>
      </c>
      <c r="E120" s="1" t="str">
        <f>TEXT(Sales[[#This Row],[Sale_Date]],"DDDD")</f>
        <v>Tuesday</v>
      </c>
      <c r="F120" t="s">
        <v>32</v>
      </c>
      <c r="G120" t="s">
        <v>33</v>
      </c>
      <c r="H120" s="2">
        <v>9583.5499999999993</v>
      </c>
      <c r="I120">
        <v>27</v>
      </c>
      <c r="J120" t="s">
        <v>34</v>
      </c>
      <c r="K120" s="2">
        <v>68.989999999999995</v>
      </c>
      <c r="L120" s="2">
        <v>429.29</v>
      </c>
      <c r="M120" t="s">
        <v>16</v>
      </c>
      <c r="N120">
        <v>0.18</v>
      </c>
      <c r="O120" s="2">
        <f>(Sales[[#This Row],[Unit_Price]]-Sales[[#This Row],[Discount]]*Sales[[#This Row],[Unit_Price]])</f>
        <v>352.01780000000002</v>
      </c>
      <c r="P120" t="s">
        <v>30</v>
      </c>
      <c r="Q120" t="s">
        <v>21</v>
      </c>
      <c r="R120" t="s">
        <v>35</v>
      </c>
    </row>
    <row r="121" spans="1:18" x14ac:dyDescent="0.35">
      <c r="A121">
        <v>1035</v>
      </c>
      <c r="B121" s="1">
        <v>45004</v>
      </c>
      <c r="C121" s="1" t="str">
        <f>TEXT(Sales[[#This Row],[Sale_Date]],"YYYY")</f>
        <v>2023</v>
      </c>
      <c r="D121" s="1" t="str">
        <f>TEXT(Sales[[#This Row],[Sale_Date]],"MMMM")</f>
        <v>March</v>
      </c>
      <c r="E121" s="1" t="str">
        <f>TEXT(Sales[[#This Row],[Sale_Date]],"DDDD")</f>
        <v>Sunday</v>
      </c>
      <c r="F121" t="s">
        <v>13</v>
      </c>
      <c r="G121" t="s">
        <v>24</v>
      </c>
      <c r="H121" s="2">
        <v>5343.63</v>
      </c>
      <c r="I121">
        <v>9</v>
      </c>
      <c r="J121" t="s">
        <v>28</v>
      </c>
      <c r="K121" s="2">
        <v>2534.94</v>
      </c>
      <c r="L121" s="2">
        <v>2755.56</v>
      </c>
      <c r="M121" t="s">
        <v>16</v>
      </c>
      <c r="N121">
        <v>0.13</v>
      </c>
      <c r="O121" s="2">
        <f>(Sales[[#This Row],[Unit_Price]]-Sales[[#This Row],[Discount]]*Sales[[#This Row],[Unit_Price]])</f>
        <v>2397.3371999999999</v>
      </c>
      <c r="P121" t="s">
        <v>30</v>
      </c>
      <c r="Q121" t="s">
        <v>21</v>
      </c>
      <c r="R121" t="s">
        <v>31</v>
      </c>
    </row>
    <row r="122" spans="1:18" x14ac:dyDescent="0.35">
      <c r="A122">
        <v>1035</v>
      </c>
      <c r="B122" s="1">
        <v>44988</v>
      </c>
      <c r="C122" s="1" t="str">
        <f>TEXT(Sales[[#This Row],[Sale_Date]],"YYYY")</f>
        <v>2023</v>
      </c>
      <c r="D122" s="1" t="str">
        <f>TEXT(Sales[[#This Row],[Sale_Date]],"MMMM")</f>
        <v>March</v>
      </c>
      <c r="E122" s="1" t="str">
        <f>TEXT(Sales[[#This Row],[Sale_Date]],"DDDD")</f>
        <v>Friday</v>
      </c>
      <c r="F122" t="s">
        <v>13</v>
      </c>
      <c r="G122" t="s">
        <v>20</v>
      </c>
      <c r="H122" s="2">
        <v>2494.7399999999998</v>
      </c>
      <c r="I122">
        <v>47</v>
      </c>
      <c r="J122" t="s">
        <v>34</v>
      </c>
      <c r="K122" s="2">
        <v>2936.48</v>
      </c>
      <c r="L122" s="2">
        <v>3096.64</v>
      </c>
      <c r="M122" t="s">
        <v>29</v>
      </c>
      <c r="N122">
        <v>0.06</v>
      </c>
      <c r="O122" s="2">
        <f>(Sales[[#This Row],[Unit_Price]]-Sales[[#This Row],[Discount]]*Sales[[#This Row],[Unit_Price]])</f>
        <v>2910.8415999999997</v>
      </c>
      <c r="P122" t="s">
        <v>26</v>
      </c>
      <c r="Q122" t="s">
        <v>18</v>
      </c>
      <c r="R122" t="s">
        <v>22</v>
      </c>
    </row>
    <row r="123" spans="1:18" x14ac:dyDescent="0.35">
      <c r="A123">
        <v>1033</v>
      </c>
      <c r="B123" s="1">
        <v>45058</v>
      </c>
      <c r="C123" s="1" t="str">
        <f>TEXT(Sales[[#This Row],[Sale_Date]],"YYYY")</f>
        <v>2023</v>
      </c>
      <c r="D123" s="1" t="str">
        <f>TEXT(Sales[[#This Row],[Sale_Date]],"MMMM")</f>
        <v>May</v>
      </c>
      <c r="E123" s="1" t="str">
        <f>TEXT(Sales[[#This Row],[Sale_Date]],"DDDD")</f>
        <v>Friday</v>
      </c>
      <c r="F123" t="s">
        <v>13</v>
      </c>
      <c r="G123" t="s">
        <v>14</v>
      </c>
      <c r="H123" s="2">
        <v>5055.9799999999996</v>
      </c>
      <c r="I123">
        <v>16</v>
      </c>
      <c r="J123" t="s">
        <v>15</v>
      </c>
      <c r="K123" s="2">
        <v>2915.88</v>
      </c>
      <c r="L123" s="2">
        <v>3397.36</v>
      </c>
      <c r="M123" t="s">
        <v>29</v>
      </c>
      <c r="N123">
        <v>0.2</v>
      </c>
      <c r="O123" s="2">
        <f>(Sales[[#This Row],[Unit_Price]]-Sales[[#This Row],[Discount]]*Sales[[#This Row],[Unit_Price]])</f>
        <v>2717.8879999999999</v>
      </c>
      <c r="P123" t="s">
        <v>26</v>
      </c>
      <c r="Q123" t="s">
        <v>21</v>
      </c>
      <c r="R123" t="s">
        <v>19</v>
      </c>
    </row>
    <row r="124" spans="1:18" x14ac:dyDescent="0.35">
      <c r="A124">
        <v>1005</v>
      </c>
      <c r="B124" s="1">
        <v>45015</v>
      </c>
      <c r="C124" s="1" t="str">
        <f>TEXT(Sales[[#This Row],[Sale_Date]],"YYYY")</f>
        <v>2023</v>
      </c>
      <c r="D124" s="1" t="str">
        <f>TEXT(Sales[[#This Row],[Sale_Date]],"MMMM")</f>
        <v>March</v>
      </c>
      <c r="E124" s="1" t="str">
        <f>TEXT(Sales[[#This Row],[Sale_Date]],"DDDD")</f>
        <v>Thursday</v>
      </c>
      <c r="F124" t="s">
        <v>41</v>
      </c>
      <c r="G124" t="s">
        <v>33</v>
      </c>
      <c r="H124" s="2">
        <v>6828.24</v>
      </c>
      <c r="I124">
        <v>12</v>
      </c>
      <c r="J124" t="s">
        <v>34</v>
      </c>
      <c r="K124" s="2">
        <v>319.83</v>
      </c>
      <c r="L124" s="2">
        <v>802.43</v>
      </c>
      <c r="M124" t="s">
        <v>29</v>
      </c>
      <c r="N124">
        <v>0.04</v>
      </c>
      <c r="O124" s="2">
        <f>(Sales[[#This Row],[Unit_Price]]-Sales[[#This Row],[Discount]]*Sales[[#This Row],[Unit_Price]])</f>
        <v>770.33279999999991</v>
      </c>
      <c r="P124" t="s">
        <v>30</v>
      </c>
      <c r="Q124" t="s">
        <v>21</v>
      </c>
      <c r="R124" t="s">
        <v>51</v>
      </c>
    </row>
    <row r="125" spans="1:18" x14ac:dyDescent="0.35">
      <c r="A125">
        <v>1041</v>
      </c>
      <c r="B125" s="1">
        <v>45163</v>
      </c>
      <c r="C125" s="1" t="str">
        <f>TEXT(Sales[[#This Row],[Sale_Date]],"YYYY")</f>
        <v>2023</v>
      </c>
      <c r="D125" s="1" t="str">
        <f>TEXT(Sales[[#This Row],[Sale_Date]],"MMMM")</f>
        <v>August</v>
      </c>
      <c r="E125" s="1" t="str">
        <f>TEXT(Sales[[#This Row],[Sale_Date]],"DDDD")</f>
        <v>Friday</v>
      </c>
      <c r="F125" t="s">
        <v>13</v>
      </c>
      <c r="G125" t="s">
        <v>24</v>
      </c>
      <c r="H125" s="2">
        <v>854.77</v>
      </c>
      <c r="I125">
        <v>31</v>
      </c>
      <c r="J125" t="s">
        <v>25</v>
      </c>
      <c r="K125" s="2">
        <v>1604.52</v>
      </c>
      <c r="L125" s="2">
        <v>1756.34</v>
      </c>
      <c r="M125" t="s">
        <v>16</v>
      </c>
      <c r="N125">
        <v>0.17</v>
      </c>
      <c r="O125" s="2">
        <f>(Sales[[#This Row],[Unit_Price]]-Sales[[#This Row],[Discount]]*Sales[[#This Row],[Unit_Price]])</f>
        <v>1457.7621999999999</v>
      </c>
      <c r="P125" t="s">
        <v>17</v>
      </c>
      <c r="Q125" t="s">
        <v>21</v>
      </c>
      <c r="R125" t="s">
        <v>31</v>
      </c>
    </row>
    <row r="126" spans="1:18" x14ac:dyDescent="0.35">
      <c r="A126">
        <v>1028</v>
      </c>
      <c r="B126" s="1">
        <v>44968</v>
      </c>
      <c r="C126" s="1" t="str">
        <f>TEXT(Sales[[#This Row],[Sale_Date]],"YYYY")</f>
        <v>2023</v>
      </c>
      <c r="D126" s="1" t="str">
        <f>TEXT(Sales[[#This Row],[Sale_Date]],"MMMM")</f>
        <v>February</v>
      </c>
      <c r="E126" s="1" t="str">
        <f>TEXT(Sales[[#This Row],[Sale_Date]],"DDDD")</f>
        <v>Saturday</v>
      </c>
      <c r="F126" t="s">
        <v>41</v>
      </c>
      <c r="G126" t="s">
        <v>33</v>
      </c>
      <c r="H126" s="2">
        <v>2819.57</v>
      </c>
      <c r="I126">
        <v>24</v>
      </c>
      <c r="J126" t="s">
        <v>28</v>
      </c>
      <c r="K126" s="2">
        <v>2521.0300000000002</v>
      </c>
      <c r="L126" s="2">
        <v>2766.05</v>
      </c>
      <c r="M126" t="s">
        <v>16</v>
      </c>
      <c r="N126">
        <v>0.16</v>
      </c>
      <c r="O126" s="2">
        <f>(Sales[[#This Row],[Unit_Price]]-Sales[[#This Row],[Discount]]*Sales[[#This Row],[Unit_Price]])</f>
        <v>2323.482</v>
      </c>
      <c r="P126" t="s">
        <v>26</v>
      </c>
      <c r="Q126" t="s">
        <v>21</v>
      </c>
      <c r="R126" t="s">
        <v>51</v>
      </c>
    </row>
    <row r="127" spans="1:18" x14ac:dyDescent="0.35">
      <c r="A127">
        <v>1007</v>
      </c>
      <c r="B127" s="1">
        <v>45015</v>
      </c>
      <c r="C127" s="1" t="str">
        <f>TEXT(Sales[[#This Row],[Sale_Date]],"YYYY")</f>
        <v>2023</v>
      </c>
      <c r="D127" s="1" t="str">
        <f>TEXT(Sales[[#This Row],[Sale_Date]],"MMMM")</f>
        <v>March</v>
      </c>
      <c r="E127" s="1" t="str">
        <f>TEXT(Sales[[#This Row],[Sale_Date]],"DDDD")</f>
        <v>Thursday</v>
      </c>
      <c r="F127" t="s">
        <v>23</v>
      </c>
      <c r="G127" t="s">
        <v>33</v>
      </c>
      <c r="H127" s="2">
        <v>8088.96</v>
      </c>
      <c r="I127">
        <v>14</v>
      </c>
      <c r="J127" t="s">
        <v>15</v>
      </c>
      <c r="K127" s="2">
        <v>1122.07</v>
      </c>
      <c r="L127" s="2">
        <v>1608.76</v>
      </c>
      <c r="M127" t="s">
        <v>29</v>
      </c>
      <c r="N127">
        <v>0.22</v>
      </c>
      <c r="O127" s="2">
        <f>(Sales[[#This Row],[Unit_Price]]-Sales[[#This Row],[Discount]]*Sales[[#This Row],[Unit_Price]])</f>
        <v>1254.8327999999999</v>
      </c>
      <c r="P127" t="s">
        <v>17</v>
      </c>
      <c r="Q127" t="s">
        <v>21</v>
      </c>
      <c r="R127" t="s">
        <v>49</v>
      </c>
    </row>
    <row r="128" spans="1:18" x14ac:dyDescent="0.35">
      <c r="A128">
        <v>1073</v>
      </c>
      <c r="B128" s="1">
        <v>45222</v>
      </c>
      <c r="C128" s="1" t="str">
        <f>TEXT(Sales[[#This Row],[Sale_Date]],"YYYY")</f>
        <v>2023</v>
      </c>
      <c r="D128" s="1" t="str">
        <f>TEXT(Sales[[#This Row],[Sale_Date]],"MMMM")</f>
        <v>October</v>
      </c>
      <c r="E128" s="1" t="str">
        <f>TEXT(Sales[[#This Row],[Sale_Date]],"DDDD")</f>
        <v>Monday</v>
      </c>
      <c r="F128" t="s">
        <v>32</v>
      </c>
      <c r="G128" t="s">
        <v>24</v>
      </c>
      <c r="H128" s="2">
        <v>4650.68</v>
      </c>
      <c r="I128">
        <v>45</v>
      </c>
      <c r="J128" t="s">
        <v>28</v>
      </c>
      <c r="K128" s="2">
        <v>4369.5</v>
      </c>
      <c r="L128" s="2">
        <v>4381.8900000000003</v>
      </c>
      <c r="M128" t="s">
        <v>16</v>
      </c>
      <c r="N128">
        <v>0.02</v>
      </c>
      <c r="O128" s="2">
        <f>(Sales[[#This Row],[Unit_Price]]-Sales[[#This Row],[Discount]]*Sales[[#This Row],[Unit_Price]])</f>
        <v>4294.2521999999999</v>
      </c>
      <c r="P128" t="s">
        <v>30</v>
      </c>
      <c r="Q128" t="s">
        <v>21</v>
      </c>
      <c r="R128" t="s">
        <v>43</v>
      </c>
    </row>
    <row r="129" spans="1:18" x14ac:dyDescent="0.35">
      <c r="A129">
        <v>1072</v>
      </c>
      <c r="B129" s="1">
        <v>45254</v>
      </c>
      <c r="C129" s="1" t="str">
        <f>TEXT(Sales[[#This Row],[Sale_Date]],"YYYY")</f>
        <v>2023</v>
      </c>
      <c r="D129" s="1" t="str">
        <f>TEXT(Sales[[#This Row],[Sale_Date]],"MMMM")</f>
        <v>November</v>
      </c>
      <c r="E129" s="1" t="str">
        <f>TEXT(Sales[[#This Row],[Sale_Date]],"DDDD")</f>
        <v>Friday</v>
      </c>
      <c r="F129" t="s">
        <v>41</v>
      </c>
      <c r="G129" t="s">
        <v>33</v>
      </c>
      <c r="H129" s="2">
        <v>5511.11</v>
      </c>
      <c r="I129">
        <v>25</v>
      </c>
      <c r="J129" t="s">
        <v>28</v>
      </c>
      <c r="K129" s="2">
        <v>481.19</v>
      </c>
      <c r="L129" s="2">
        <v>693.4</v>
      </c>
      <c r="M129" t="s">
        <v>29</v>
      </c>
      <c r="N129">
        <v>0.27</v>
      </c>
      <c r="O129" s="2">
        <f>(Sales[[#This Row],[Unit_Price]]-Sales[[#This Row],[Discount]]*Sales[[#This Row],[Unit_Price]])</f>
        <v>506.18199999999996</v>
      </c>
      <c r="P129" t="s">
        <v>30</v>
      </c>
      <c r="Q129" t="s">
        <v>21</v>
      </c>
      <c r="R129" t="s">
        <v>51</v>
      </c>
    </row>
    <row r="130" spans="1:18" x14ac:dyDescent="0.35">
      <c r="A130">
        <v>1012</v>
      </c>
      <c r="B130" s="1">
        <v>45221</v>
      </c>
      <c r="C130" s="1" t="str">
        <f>TEXT(Sales[[#This Row],[Sale_Date]],"YYYY")</f>
        <v>2023</v>
      </c>
      <c r="D130" s="1" t="str">
        <f>TEXT(Sales[[#This Row],[Sale_Date]],"MMMM")</f>
        <v>October</v>
      </c>
      <c r="E130" s="1" t="str">
        <f>TEXT(Sales[[#This Row],[Sale_Date]],"DDDD")</f>
        <v>Sunday</v>
      </c>
      <c r="F130" t="s">
        <v>23</v>
      </c>
      <c r="G130" t="s">
        <v>14</v>
      </c>
      <c r="H130" s="2">
        <v>4384.88</v>
      </c>
      <c r="I130">
        <v>34</v>
      </c>
      <c r="J130" t="s">
        <v>15</v>
      </c>
      <c r="K130" s="2">
        <v>2462.5500000000002</v>
      </c>
      <c r="L130" s="2">
        <v>2521.77</v>
      </c>
      <c r="M130" t="s">
        <v>29</v>
      </c>
      <c r="N130">
        <v>0.21</v>
      </c>
      <c r="O130" s="2">
        <f>(Sales[[#This Row],[Unit_Price]]-Sales[[#This Row],[Discount]]*Sales[[#This Row],[Unit_Price]])</f>
        <v>1992.1983</v>
      </c>
      <c r="P130" t="s">
        <v>26</v>
      </c>
      <c r="Q130" t="s">
        <v>21</v>
      </c>
      <c r="R130" t="s">
        <v>44</v>
      </c>
    </row>
    <row r="131" spans="1:18" x14ac:dyDescent="0.35">
      <c r="A131">
        <v>1034</v>
      </c>
      <c r="B131" s="1">
        <v>45030</v>
      </c>
      <c r="C131" s="1" t="str">
        <f>TEXT(Sales[[#This Row],[Sale_Date]],"YYYY")</f>
        <v>2023</v>
      </c>
      <c r="D131" s="1" t="str">
        <f>TEXT(Sales[[#This Row],[Sale_Date]],"MMMM")</f>
        <v>April</v>
      </c>
      <c r="E131" s="1" t="str">
        <f>TEXT(Sales[[#This Row],[Sale_Date]],"DDDD")</f>
        <v>Friday</v>
      </c>
      <c r="F131" t="s">
        <v>41</v>
      </c>
      <c r="G131" t="s">
        <v>20</v>
      </c>
      <c r="H131" s="2">
        <v>534.61</v>
      </c>
      <c r="I131">
        <v>3</v>
      </c>
      <c r="J131" t="s">
        <v>28</v>
      </c>
      <c r="K131" s="2">
        <v>3472.51</v>
      </c>
      <c r="L131" s="2">
        <v>3732</v>
      </c>
      <c r="M131" t="s">
        <v>29</v>
      </c>
      <c r="N131">
        <v>0.06</v>
      </c>
      <c r="O131" s="2">
        <f>(Sales[[#This Row],[Unit_Price]]-Sales[[#This Row],[Discount]]*Sales[[#This Row],[Unit_Price]])</f>
        <v>3508.08</v>
      </c>
      <c r="P131" t="s">
        <v>17</v>
      </c>
      <c r="Q131" t="s">
        <v>18</v>
      </c>
      <c r="R131" t="s">
        <v>50</v>
      </c>
    </row>
    <row r="132" spans="1:18" x14ac:dyDescent="0.35">
      <c r="A132">
        <v>1033</v>
      </c>
      <c r="B132" s="1">
        <v>44940</v>
      </c>
      <c r="C132" s="1" t="str">
        <f>TEXT(Sales[[#This Row],[Sale_Date]],"YYYY")</f>
        <v>2023</v>
      </c>
      <c r="D132" s="1" t="str">
        <f>TEXT(Sales[[#This Row],[Sale_Date]],"MMMM")</f>
        <v>January</v>
      </c>
      <c r="E132" s="1" t="str">
        <f>TEXT(Sales[[#This Row],[Sale_Date]],"DDDD")</f>
        <v>Saturday</v>
      </c>
      <c r="F132" t="s">
        <v>41</v>
      </c>
      <c r="G132" t="s">
        <v>20</v>
      </c>
      <c r="H132" s="2">
        <v>1740.92</v>
      </c>
      <c r="I132">
        <v>24</v>
      </c>
      <c r="J132" t="s">
        <v>28</v>
      </c>
      <c r="K132" s="2">
        <v>1345.67</v>
      </c>
      <c r="L132" s="2">
        <v>1367.76</v>
      </c>
      <c r="M132" t="s">
        <v>29</v>
      </c>
      <c r="N132">
        <v>0.06</v>
      </c>
      <c r="O132" s="2">
        <f>(Sales[[#This Row],[Unit_Price]]-Sales[[#This Row],[Discount]]*Sales[[#This Row],[Unit_Price]])</f>
        <v>1285.6944000000001</v>
      </c>
      <c r="P132" t="s">
        <v>26</v>
      </c>
      <c r="Q132" t="s">
        <v>18</v>
      </c>
      <c r="R132" t="s">
        <v>50</v>
      </c>
    </row>
    <row r="133" spans="1:18" x14ac:dyDescent="0.35">
      <c r="A133">
        <v>1048</v>
      </c>
      <c r="B133" s="1">
        <v>45214</v>
      </c>
      <c r="C133" s="1" t="str">
        <f>TEXT(Sales[[#This Row],[Sale_Date]],"YYYY")</f>
        <v>2023</v>
      </c>
      <c r="D133" s="1" t="str">
        <f>TEXT(Sales[[#This Row],[Sale_Date]],"MMMM")</f>
        <v>October</v>
      </c>
      <c r="E133" s="1" t="str">
        <f>TEXT(Sales[[#This Row],[Sale_Date]],"DDDD")</f>
        <v>Sunday</v>
      </c>
      <c r="F133" t="s">
        <v>32</v>
      </c>
      <c r="G133" t="s">
        <v>14</v>
      </c>
      <c r="H133" s="2">
        <v>4510.8599999999997</v>
      </c>
      <c r="I133">
        <v>42</v>
      </c>
      <c r="J133" t="s">
        <v>34</v>
      </c>
      <c r="K133" s="2">
        <v>3139.99</v>
      </c>
      <c r="L133" s="2">
        <v>3349.37</v>
      </c>
      <c r="M133" t="s">
        <v>16</v>
      </c>
      <c r="N133">
        <v>0.13</v>
      </c>
      <c r="O133" s="2">
        <f>(Sales[[#This Row],[Unit_Price]]-Sales[[#This Row],[Discount]]*Sales[[#This Row],[Unit_Price]])</f>
        <v>2913.9519</v>
      </c>
      <c r="P133" t="s">
        <v>30</v>
      </c>
      <c r="Q133" t="s">
        <v>21</v>
      </c>
      <c r="R133" t="s">
        <v>52</v>
      </c>
    </row>
    <row r="134" spans="1:18" x14ac:dyDescent="0.35">
      <c r="A134">
        <v>1023</v>
      </c>
      <c r="B134" s="1">
        <v>45105</v>
      </c>
      <c r="C134" s="1" t="str">
        <f>TEXT(Sales[[#This Row],[Sale_Date]],"YYYY")</f>
        <v>2023</v>
      </c>
      <c r="D134" s="1" t="str">
        <f>TEXT(Sales[[#This Row],[Sale_Date]],"MMMM")</f>
        <v>June</v>
      </c>
      <c r="E134" s="1" t="str">
        <f>TEXT(Sales[[#This Row],[Sale_Date]],"DDDD")</f>
        <v>Wednesday</v>
      </c>
      <c r="F134" t="s">
        <v>37</v>
      </c>
      <c r="G134" t="s">
        <v>33</v>
      </c>
      <c r="H134" s="2">
        <v>2170.94</v>
      </c>
      <c r="I134">
        <v>9</v>
      </c>
      <c r="J134" t="s">
        <v>28</v>
      </c>
      <c r="K134" s="2">
        <v>4155.46</v>
      </c>
      <c r="L134" s="2">
        <v>4273.6000000000004</v>
      </c>
      <c r="M134" t="s">
        <v>16</v>
      </c>
      <c r="N134">
        <v>0.25</v>
      </c>
      <c r="O134" s="2">
        <f>(Sales[[#This Row],[Unit_Price]]-Sales[[#This Row],[Discount]]*Sales[[#This Row],[Unit_Price]])</f>
        <v>3205.2000000000003</v>
      </c>
      <c r="P134" t="s">
        <v>17</v>
      </c>
      <c r="Q134" t="s">
        <v>21</v>
      </c>
      <c r="R134" t="s">
        <v>47</v>
      </c>
    </row>
    <row r="135" spans="1:18" x14ac:dyDescent="0.35">
      <c r="A135">
        <v>1062</v>
      </c>
      <c r="B135" s="1">
        <v>45051</v>
      </c>
      <c r="C135" s="1" t="str">
        <f>TEXT(Sales[[#This Row],[Sale_Date]],"YYYY")</f>
        <v>2023</v>
      </c>
      <c r="D135" s="1" t="str">
        <f>TEXT(Sales[[#This Row],[Sale_Date]],"MMMM")</f>
        <v>May</v>
      </c>
      <c r="E135" s="1" t="str">
        <f>TEXT(Sales[[#This Row],[Sale_Date]],"DDDD")</f>
        <v>Friday</v>
      </c>
      <c r="F135" t="s">
        <v>37</v>
      </c>
      <c r="G135" t="s">
        <v>24</v>
      </c>
      <c r="H135" s="2">
        <v>594.79</v>
      </c>
      <c r="I135">
        <v>26</v>
      </c>
      <c r="J135" t="s">
        <v>28</v>
      </c>
      <c r="K135" s="2">
        <v>992.17</v>
      </c>
      <c r="L135" s="2">
        <v>1263.49</v>
      </c>
      <c r="M135" t="s">
        <v>16</v>
      </c>
      <c r="N135">
        <v>0.25</v>
      </c>
      <c r="O135" s="2">
        <f>(Sales[[#This Row],[Unit_Price]]-Sales[[#This Row],[Discount]]*Sales[[#This Row],[Unit_Price]])</f>
        <v>947.61750000000006</v>
      </c>
      <c r="P135" t="s">
        <v>26</v>
      </c>
      <c r="Q135" t="s">
        <v>21</v>
      </c>
      <c r="R135" t="s">
        <v>38</v>
      </c>
    </row>
    <row r="136" spans="1:18" x14ac:dyDescent="0.35">
      <c r="A136">
        <v>1088</v>
      </c>
      <c r="B136" s="1">
        <v>45279</v>
      </c>
      <c r="C136" s="1" t="str">
        <f>TEXT(Sales[[#This Row],[Sale_Date]],"YYYY")</f>
        <v>2023</v>
      </c>
      <c r="D136" s="1" t="str">
        <f>TEXT(Sales[[#This Row],[Sale_Date]],"MMMM")</f>
        <v>December</v>
      </c>
      <c r="E136" s="1" t="str">
        <f>TEXT(Sales[[#This Row],[Sale_Date]],"DDDD")</f>
        <v>Tuesday</v>
      </c>
      <c r="F136" t="s">
        <v>41</v>
      </c>
      <c r="G136" t="s">
        <v>33</v>
      </c>
      <c r="H136" s="2">
        <v>8452.1299999999992</v>
      </c>
      <c r="I136">
        <v>20</v>
      </c>
      <c r="J136" t="s">
        <v>28</v>
      </c>
      <c r="K136" s="2">
        <v>4590.24</v>
      </c>
      <c r="L136" s="2">
        <v>5088.28</v>
      </c>
      <c r="M136" t="s">
        <v>29</v>
      </c>
      <c r="N136">
        <v>0.16</v>
      </c>
      <c r="O136" s="2">
        <f>(Sales[[#This Row],[Unit_Price]]-Sales[[#This Row],[Discount]]*Sales[[#This Row],[Unit_Price]])</f>
        <v>4274.1552000000001</v>
      </c>
      <c r="P136" t="s">
        <v>26</v>
      </c>
      <c r="Q136" t="s">
        <v>21</v>
      </c>
      <c r="R136" t="s">
        <v>51</v>
      </c>
    </row>
    <row r="137" spans="1:18" x14ac:dyDescent="0.35">
      <c r="A137">
        <v>1037</v>
      </c>
      <c r="B137" s="1">
        <v>44949</v>
      </c>
      <c r="C137" s="1" t="str">
        <f>TEXT(Sales[[#This Row],[Sale_Date]],"YYYY")</f>
        <v>2023</v>
      </c>
      <c r="D137" s="1" t="str">
        <f>TEXT(Sales[[#This Row],[Sale_Date]],"MMMM")</f>
        <v>January</v>
      </c>
      <c r="E137" s="1" t="str">
        <f>TEXT(Sales[[#This Row],[Sale_Date]],"DDDD")</f>
        <v>Monday</v>
      </c>
      <c r="F137" t="s">
        <v>13</v>
      </c>
      <c r="G137" t="s">
        <v>14</v>
      </c>
      <c r="H137" s="2">
        <v>9813.81</v>
      </c>
      <c r="I137">
        <v>40</v>
      </c>
      <c r="J137" t="s">
        <v>28</v>
      </c>
      <c r="K137" s="2">
        <v>2790.11</v>
      </c>
      <c r="L137" s="2">
        <v>3192.37</v>
      </c>
      <c r="M137" t="s">
        <v>16</v>
      </c>
      <c r="N137">
        <v>0.26</v>
      </c>
      <c r="O137" s="2">
        <f>(Sales[[#This Row],[Unit_Price]]-Sales[[#This Row],[Discount]]*Sales[[#This Row],[Unit_Price]])</f>
        <v>2362.3537999999999</v>
      </c>
      <c r="P137" t="s">
        <v>26</v>
      </c>
      <c r="Q137" t="s">
        <v>18</v>
      </c>
      <c r="R137" t="s">
        <v>19</v>
      </c>
    </row>
    <row r="138" spans="1:18" x14ac:dyDescent="0.35">
      <c r="A138">
        <v>1099</v>
      </c>
      <c r="B138" s="1">
        <v>44989</v>
      </c>
      <c r="C138" s="1" t="str">
        <f>TEXT(Sales[[#This Row],[Sale_Date]],"YYYY")</f>
        <v>2023</v>
      </c>
      <c r="D138" s="1" t="str">
        <f>TEXT(Sales[[#This Row],[Sale_Date]],"MMMM")</f>
        <v>March</v>
      </c>
      <c r="E138" s="1" t="str">
        <f>TEXT(Sales[[#This Row],[Sale_Date]],"DDDD")</f>
        <v>Saturday</v>
      </c>
      <c r="F138" t="s">
        <v>23</v>
      </c>
      <c r="G138" t="s">
        <v>33</v>
      </c>
      <c r="H138" s="2">
        <v>7952.11</v>
      </c>
      <c r="I138">
        <v>10</v>
      </c>
      <c r="J138" t="s">
        <v>15</v>
      </c>
      <c r="K138" s="2">
        <v>1531.2</v>
      </c>
      <c r="L138" s="2">
        <v>1955.56</v>
      </c>
      <c r="M138" t="s">
        <v>29</v>
      </c>
      <c r="N138">
        <v>0</v>
      </c>
      <c r="O138" s="2">
        <f>(Sales[[#This Row],[Unit_Price]]-Sales[[#This Row],[Discount]]*Sales[[#This Row],[Unit_Price]])</f>
        <v>1955.56</v>
      </c>
      <c r="P138" t="s">
        <v>30</v>
      </c>
      <c r="Q138" t="s">
        <v>18</v>
      </c>
      <c r="R138" t="s">
        <v>49</v>
      </c>
    </row>
    <row r="139" spans="1:18" x14ac:dyDescent="0.35">
      <c r="A139">
        <v>1044</v>
      </c>
      <c r="B139" s="1">
        <v>45069</v>
      </c>
      <c r="C139" s="1" t="str">
        <f>TEXT(Sales[[#This Row],[Sale_Date]],"YYYY")</f>
        <v>2023</v>
      </c>
      <c r="D139" s="1" t="str">
        <f>TEXT(Sales[[#This Row],[Sale_Date]],"MMMM")</f>
        <v>May</v>
      </c>
      <c r="E139" s="1" t="str">
        <f>TEXT(Sales[[#This Row],[Sale_Date]],"DDDD")</f>
        <v>Tuesday</v>
      </c>
      <c r="F139" t="s">
        <v>13</v>
      </c>
      <c r="G139" t="s">
        <v>20</v>
      </c>
      <c r="H139" s="2">
        <v>8552.4699999999993</v>
      </c>
      <c r="I139">
        <v>19</v>
      </c>
      <c r="J139" t="s">
        <v>25</v>
      </c>
      <c r="K139" s="2">
        <v>2182.75</v>
      </c>
      <c r="L139" s="2">
        <v>2504.0299999999902</v>
      </c>
      <c r="M139" t="s">
        <v>29</v>
      </c>
      <c r="N139">
        <v>0.01</v>
      </c>
      <c r="O139" s="2">
        <f>(Sales[[#This Row],[Unit_Price]]-Sales[[#This Row],[Discount]]*Sales[[#This Row],[Unit_Price]])</f>
        <v>2478.9896999999901</v>
      </c>
      <c r="P139" t="s">
        <v>26</v>
      </c>
      <c r="Q139" t="s">
        <v>18</v>
      </c>
      <c r="R139" t="s">
        <v>22</v>
      </c>
    </row>
    <row r="140" spans="1:18" x14ac:dyDescent="0.35">
      <c r="A140">
        <v>1086</v>
      </c>
      <c r="B140" s="1">
        <v>45079</v>
      </c>
      <c r="C140" s="1" t="str">
        <f>TEXT(Sales[[#This Row],[Sale_Date]],"YYYY")</f>
        <v>2023</v>
      </c>
      <c r="D140" s="1" t="str">
        <f>TEXT(Sales[[#This Row],[Sale_Date]],"MMMM")</f>
        <v>June</v>
      </c>
      <c r="E140" s="1" t="str">
        <f>TEXT(Sales[[#This Row],[Sale_Date]],"DDDD")</f>
        <v>Friday</v>
      </c>
      <c r="F140" t="s">
        <v>13</v>
      </c>
      <c r="G140" t="s">
        <v>33</v>
      </c>
      <c r="H140" s="2">
        <v>2495.5700000000002</v>
      </c>
      <c r="I140">
        <v>3</v>
      </c>
      <c r="J140" t="s">
        <v>34</v>
      </c>
      <c r="K140" s="2">
        <v>1595.35</v>
      </c>
      <c r="L140" s="2">
        <v>1625.70999999999</v>
      </c>
      <c r="M140" t="s">
        <v>29</v>
      </c>
      <c r="N140">
        <v>0.27</v>
      </c>
      <c r="O140" s="2">
        <f>(Sales[[#This Row],[Unit_Price]]-Sales[[#This Row],[Discount]]*Sales[[#This Row],[Unit_Price]])</f>
        <v>1186.7682999999927</v>
      </c>
      <c r="P140" t="s">
        <v>17</v>
      </c>
      <c r="Q140" t="s">
        <v>18</v>
      </c>
      <c r="R140" t="s">
        <v>45</v>
      </c>
    </row>
    <row r="141" spans="1:18" x14ac:dyDescent="0.35">
      <c r="A141">
        <v>1091</v>
      </c>
      <c r="B141" s="1">
        <v>45071</v>
      </c>
      <c r="C141" s="1" t="str">
        <f>TEXT(Sales[[#This Row],[Sale_Date]],"YYYY")</f>
        <v>2023</v>
      </c>
      <c r="D141" s="1" t="str">
        <f>TEXT(Sales[[#This Row],[Sale_Date]],"MMMM")</f>
        <v>May</v>
      </c>
      <c r="E141" s="1" t="str">
        <f>TEXT(Sales[[#This Row],[Sale_Date]],"DDDD")</f>
        <v>Thursday</v>
      </c>
      <c r="F141" t="s">
        <v>41</v>
      </c>
      <c r="G141" t="s">
        <v>14</v>
      </c>
      <c r="H141" s="2">
        <v>9610.2099999999991</v>
      </c>
      <c r="I141">
        <v>24</v>
      </c>
      <c r="J141" t="s">
        <v>28</v>
      </c>
      <c r="K141" s="2">
        <v>3639.3</v>
      </c>
      <c r="L141" s="2">
        <v>3750.63</v>
      </c>
      <c r="M141" t="s">
        <v>29</v>
      </c>
      <c r="N141">
        <v>0.23</v>
      </c>
      <c r="O141" s="2">
        <f>(Sales[[#This Row],[Unit_Price]]-Sales[[#This Row],[Discount]]*Sales[[#This Row],[Unit_Price]])</f>
        <v>2887.9850999999999</v>
      </c>
      <c r="P141" t="s">
        <v>26</v>
      </c>
      <c r="Q141" t="s">
        <v>21</v>
      </c>
      <c r="R141" t="s">
        <v>48</v>
      </c>
    </row>
    <row r="142" spans="1:18" x14ac:dyDescent="0.35">
      <c r="A142">
        <v>1035</v>
      </c>
      <c r="B142" s="1">
        <v>45151</v>
      </c>
      <c r="C142" s="1" t="str">
        <f>TEXT(Sales[[#This Row],[Sale_Date]],"YYYY")</f>
        <v>2023</v>
      </c>
      <c r="D142" s="1" t="str">
        <f>TEXT(Sales[[#This Row],[Sale_Date]],"MMMM")</f>
        <v>August</v>
      </c>
      <c r="E142" s="1" t="str">
        <f>TEXT(Sales[[#This Row],[Sale_Date]],"DDDD")</f>
        <v>Sunday</v>
      </c>
      <c r="F142" t="s">
        <v>41</v>
      </c>
      <c r="G142" t="s">
        <v>20</v>
      </c>
      <c r="H142" s="2">
        <v>2049.56</v>
      </c>
      <c r="I142">
        <v>5</v>
      </c>
      <c r="J142" t="s">
        <v>28</v>
      </c>
      <c r="K142" s="2">
        <v>3991.69</v>
      </c>
      <c r="L142" s="2">
        <v>4454.97</v>
      </c>
      <c r="M142" t="s">
        <v>29</v>
      </c>
      <c r="N142">
        <v>0.14000000000000001</v>
      </c>
      <c r="O142" s="2">
        <f>(Sales[[#This Row],[Unit_Price]]-Sales[[#This Row],[Discount]]*Sales[[#This Row],[Unit_Price]])</f>
        <v>3831.2742000000003</v>
      </c>
      <c r="P142" t="s">
        <v>30</v>
      </c>
      <c r="Q142" t="s">
        <v>21</v>
      </c>
      <c r="R142" t="s">
        <v>50</v>
      </c>
    </row>
    <row r="143" spans="1:18" x14ac:dyDescent="0.35">
      <c r="A143">
        <v>1065</v>
      </c>
      <c r="B143" s="1">
        <v>45235</v>
      </c>
      <c r="C143" s="1" t="str">
        <f>TEXT(Sales[[#This Row],[Sale_Date]],"YYYY")</f>
        <v>2023</v>
      </c>
      <c r="D143" s="1" t="str">
        <f>TEXT(Sales[[#This Row],[Sale_Date]],"MMMM")</f>
        <v>November</v>
      </c>
      <c r="E143" s="1" t="str">
        <f>TEXT(Sales[[#This Row],[Sale_Date]],"DDDD")</f>
        <v>Sunday</v>
      </c>
      <c r="F143" t="s">
        <v>41</v>
      </c>
      <c r="G143" t="s">
        <v>33</v>
      </c>
      <c r="H143" s="2">
        <v>9519.16</v>
      </c>
      <c r="I143">
        <v>3</v>
      </c>
      <c r="J143" t="s">
        <v>15</v>
      </c>
      <c r="K143" s="2">
        <v>4173.04</v>
      </c>
      <c r="L143" s="2">
        <v>4362.4399999999996</v>
      </c>
      <c r="M143" t="s">
        <v>29</v>
      </c>
      <c r="N143">
        <v>0.23</v>
      </c>
      <c r="O143" s="2">
        <f>(Sales[[#This Row],[Unit_Price]]-Sales[[#This Row],[Discount]]*Sales[[#This Row],[Unit_Price]])</f>
        <v>3359.0787999999998</v>
      </c>
      <c r="P143" t="s">
        <v>26</v>
      </c>
      <c r="Q143" t="s">
        <v>21</v>
      </c>
      <c r="R143" t="s">
        <v>51</v>
      </c>
    </row>
    <row r="144" spans="1:18" x14ac:dyDescent="0.35">
      <c r="A144">
        <v>1099</v>
      </c>
      <c r="B144" s="1">
        <v>45030</v>
      </c>
      <c r="C144" s="1" t="str">
        <f>TEXT(Sales[[#This Row],[Sale_Date]],"YYYY")</f>
        <v>2023</v>
      </c>
      <c r="D144" s="1" t="str">
        <f>TEXT(Sales[[#This Row],[Sale_Date]],"MMMM")</f>
        <v>April</v>
      </c>
      <c r="E144" s="1" t="str">
        <f>TEXT(Sales[[#This Row],[Sale_Date]],"DDDD")</f>
        <v>Friday</v>
      </c>
      <c r="F144" t="s">
        <v>41</v>
      </c>
      <c r="G144" t="s">
        <v>33</v>
      </c>
      <c r="H144" s="2">
        <v>9948.7099999999991</v>
      </c>
      <c r="I144">
        <v>27</v>
      </c>
      <c r="J144" t="s">
        <v>25</v>
      </c>
      <c r="K144" s="2">
        <v>4929.55</v>
      </c>
      <c r="L144" s="2">
        <v>4990.33</v>
      </c>
      <c r="M144" t="s">
        <v>16</v>
      </c>
      <c r="N144">
        <v>0.28999999999999998</v>
      </c>
      <c r="O144" s="2">
        <f>(Sales[[#This Row],[Unit_Price]]-Sales[[#This Row],[Discount]]*Sales[[#This Row],[Unit_Price]])</f>
        <v>3543.1342999999997</v>
      </c>
      <c r="P144" t="s">
        <v>30</v>
      </c>
      <c r="Q144" t="s">
        <v>18</v>
      </c>
      <c r="R144" t="s">
        <v>51</v>
      </c>
    </row>
    <row r="145" spans="1:18" x14ac:dyDescent="0.35">
      <c r="A145">
        <v>1047</v>
      </c>
      <c r="B145" s="1">
        <v>45030</v>
      </c>
      <c r="C145" s="1" t="str">
        <f>TEXT(Sales[[#This Row],[Sale_Date]],"YYYY")</f>
        <v>2023</v>
      </c>
      <c r="D145" s="1" t="str">
        <f>TEXT(Sales[[#This Row],[Sale_Date]],"MMMM")</f>
        <v>April</v>
      </c>
      <c r="E145" s="1" t="str">
        <f>TEXT(Sales[[#This Row],[Sale_Date]],"DDDD")</f>
        <v>Friday</v>
      </c>
      <c r="F145" t="s">
        <v>37</v>
      </c>
      <c r="G145" t="s">
        <v>20</v>
      </c>
      <c r="H145" s="2">
        <v>7146.06</v>
      </c>
      <c r="I145">
        <v>16</v>
      </c>
      <c r="J145" t="s">
        <v>28</v>
      </c>
      <c r="K145" s="2">
        <v>3966.86</v>
      </c>
      <c r="L145" s="2">
        <v>4321.04</v>
      </c>
      <c r="M145" t="s">
        <v>16</v>
      </c>
      <c r="N145">
        <v>0.23</v>
      </c>
      <c r="O145" s="2">
        <f>(Sales[[#This Row],[Unit_Price]]-Sales[[#This Row],[Discount]]*Sales[[#This Row],[Unit_Price]])</f>
        <v>3327.2008000000001</v>
      </c>
      <c r="P145" t="s">
        <v>30</v>
      </c>
      <c r="Q145" t="s">
        <v>21</v>
      </c>
      <c r="R145" t="s">
        <v>40</v>
      </c>
    </row>
    <row r="146" spans="1:18" x14ac:dyDescent="0.35">
      <c r="A146">
        <v>1078</v>
      </c>
      <c r="B146" s="1">
        <v>44965</v>
      </c>
      <c r="C146" s="1" t="str">
        <f>TEXT(Sales[[#This Row],[Sale_Date]],"YYYY")</f>
        <v>2023</v>
      </c>
      <c r="D146" s="1" t="str">
        <f>TEXT(Sales[[#This Row],[Sale_Date]],"MMMM")</f>
        <v>February</v>
      </c>
      <c r="E146" s="1" t="str">
        <f>TEXT(Sales[[#This Row],[Sale_Date]],"DDDD")</f>
        <v>Wednesday</v>
      </c>
      <c r="F146" t="s">
        <v>41</v>
      </c>
      <c r="G146" t="s">
        <v>24</v>
      </c>
      <c r="H146" s="2">
        <v>9813.32</v>
      </c>
      <c r="I146">
        <v>49</v>
      </c>
      <c r="J146" t="s">
        <v>15</v>
      </c>
      <c r="K146" s="2">
        <v>3026.85</v>
      </c>
      <c r="L146" s="2">
        <v>3183.58</v>
      </c>
      <c r="M146" t="s">
        <v>16</v>
      </c>
      <c r="N146">
        <v>0.25</v>
      </c>
      <c r="O146" s="2">
        <f>(Sales[[#This Row],[Unit_Price]]-Sales[[#This Row],[Discount]]*Sales[[#This Row],[Unit_Price]])</f>
        <v>2387.6849999999999</v>
      </c>
      <c r="P146" t="s">
        <v>17</v>
      </c>
      <c r="Q146" t="s">
        <v>21</v>
      </c>
      <c r="R146" t="s">
        <v>42</v>
      </c>
    </row>
    <row r="147" spans="1:18" x14ac:dyDescent="0.35">
      <c r="A147">
        <v>1003</v>
      </c>
      <c r="B147" s="1">
        <v>45124</v>
      </c>
      <c r="C147" s="1" t="str">
        <f>TEXT(Sales[[#This Row],[Sale_Date]],"YYYY")</f>
        <v>2023</v>
      </c>
      <c r="D147" s="1" t="str">
        <f>TEXT(Sales[[#This Row],[Sale_Date]],"MMMM")</f>
        <v>July</v>
      </c>
      <c r="E147" s="1" t="str">
        <f>TEXT(Sales[[#This Row],[Sale_Date]],"DDDD")</f>
        <v>Monday</v>
      </c>
      <c r="F147" t="s">
        <v>37</v>
      </c>
      <c r="G147" t="s">
        <v>20</v>
      </c>
      <c r="H147" s="2">
        <v>5738.44</v>
      </c>
      <c r="I147">
        <v>15</v>
      </c>
      <c r="J147" t="s">
        <v>34</v>
      </c>
      <c r="K147" s="2">
        <v>1729.14</v>
      </c>
      <c r="L147" s="2">
        <v>1870.88</v>
      </c>
      <c r="M147" t="s">
        <v>16</v>
      </c>
      <c r="N147">
        <v>0.23</v>
      </c>
      <c r="O147" s="2">
        <f>(Sales[[#This Row],[Unit_Price]]-Sales[[#This Row],[Discount]]*Sales[[#This Row],[Unit_Price]])</f>
        <v>1440.5776000000001</v>
      </c>
      <c r="P147" t="s">
        <v>17</v>
      </c>
      <c r="Q147" t="s">
        <v>18</v>
      </c>
      <c r="R147" t="s">
        <v>40</v>
      </c>
    </row>
    <row r="148" spans="1:18" x14ac:dyDescent="0.35">
      <c r="A148">
        <v>1001</v>
      </c>
      <c r="B148" s="1">
        <v>45060</v>
      </c>
      <c r="C148" s="1" t="str">
        <f>TEXT(Sales[[#This Row],[Sale_Date]],"YYYY")</f>
        <v>2023</v>
      </c>
      <c r="D148" s="1" t="str">
        <f>TEXT(Sales[[#This Row],[Sale_Date]],"MMMM")</f>
        <v>May</v>
      </c>
      <c r="E148" s="1" t="str">
        <f>TEXT(Sales[[#This Row],[Sale_Date]],"DDDD")</f>
        <v>Sunday</v>
      </c>
      <c r="F148" t="s">
        <v>37</v>
      </c>
      <c r="G148" t="s">
        <v>24</v>
      </c>
      <c r="H148" s="2">
        <v>2669.46</v>
      </c>
      <c r="I148">
        <v>35</v>
      </c>
      <c r="J148" t="s">
        <v>34</v>
      </c>
      <c r="K148" s="2">
        <v>2745.75</v>
      </c>
      <c r="L148" s="2">
        <v>3244.76</v>
      </c>
      <c r="M148" t="s">
        <v>29</v>
      </c>
      <c r="N148">
        <v>0.05</v>
      </c>
      <c r="O148" s="2">
        <f>(Sales[[#This Row],[Unit_Price]]-Sales[[#This Row],[Discount]]*Sales[[#This Row],[Unit_Price]])</f>
        <v>3082.5220000000004</v>
      </c>
      <c r="P148" t="s">
        <v>26</v>
      </c>
      <c r="Q148" t="s">
        <v>18</v>
      </c>
      <c r="R148" t="s">
        <v>38</v>
      </c>
    </row>
    <row r="149" spans="1:18" x14ac:dyDescent="0.35">
      <c r="A149">
        <v>1005</v>
      </c>
      <c r="B149" s="1">
        <v>44993</v>
      </c>
      <c r="C149" s="1" t="str">
        <f>TEXT(Sales[[#This Row],[Sale_Date]],"YYYY")</f>
        <v>2023</v>
      </c>
      <c r="D149" s="1" t="str">
        <f>TEXT(Sales[[#This Row],[Sale_Date]],"MMMM")</f>
        <v>March</v>
      </c>
      <c r="E149" s="1" t="str">
        <f>TEXT(Sales[[#This Row],[Sale_Date]],"DDDD")</f>
        <v>Wednesday</v>
      </c>
      <c r="F149" t="s">
        <v>41</v>
      </c>
      <c r="G149" t="s">
        <v>14</v>
      </c>
      <c r="H149" s="2">
        <v>4426.26</v>
      </c>
      <c r="I149">
        <v>12</v>
      </c>
      <c r="J149" t="s">
        <v>28</v>
      </c>
      <c r="K149" s="2">
        <v>253.29</v>
      </c>
      <c r="L149" s="2">
        <v>683.78</v>
      </c>
      <c r="M149" t="s">
        <v>29</v>
      </c>
      <c r="N149">
        <v>0.25</v>
      </c>
      <c r="O149" s="2">
        <f>(Sales[[#This Row],[Unit_Price]]-Sales[[#This Row],[Discount]]*Sales[[#This Row],[Unit_Price]])</f>
        <v>512.83500000000004</v>
      </c>
      <c r="P149" t="s">
        <v>30</v>
      </c>
      <c r="Q149" t="s">
        <v>18</v>
      </c>
      <c r="R149" t="s">
        <v>48</v>
      </c>
    </row>
    <row r="150" spans="1:18" x14ac:dyDescent="0.35">
      <c r="A150">
        <v>1090</v>
      </c>
      <c r="B150" s="1">
        <v>45105</v>
      </c>
      <c r="C150" s="1" t="str">
        <f>TEXT(Sales[[#This Row],[Sale_Date]],"YYYY")</f>
        <v>2023</v>
      </c>
      <c r="D150" s="1" t="str">
        <f>TEXT(Sales[[#This Row],[Sale_Date]],"MMMM")</f>
        <v>June</v>
      </c>
      <c r="E150" s="1" t="str">
        <f>TEXT(Sales[[#This Row],[Sale_Date]],"DDDD")</f>
        <v>Wednesday</v>
      </c>
      <c r="F150" t="s">
        <v>32</v>
      </c>
      <c r="G150" t="s">
        <v>14</v>
      </c>
      <c r="H150" s="2">
        <v>5976.25</v>
      </c>
      <c r="I150">
        <v>41</v>
      </c>
      <c r="J150" t="s">
        <v>28</v>
      </c>
      <c r="K150" s="2">
        <v>3736.88</v>
      </c>
      <c r="L150" s="2">
        <v>3946.77</v>
      </c>
      <c r="M150" t="s">
        <v>16</v>
      </c>
      <c r="N150">
        <v>0.06</v>
      </c>
      <c r="O150" s="2">
        <f>(Sales[[#This Row],[Unit_Price]]-Sales[[#This Row],[Discount]]*Sales[[#This Row],[Unit_Price]])</f>
        <v>3709.9638</v>
      </c>
      <c r="P150" t="s">
        <v>30</v>
      </c>
      <c r="Q150" t="s">
        <v>18</v>
      </c>
      <c r="R150" t="s">
        <v>52</v>
      </c>
    </row>
    <row r="151" spans="1:18" x14ac:dyDescent="0.35">
      <c r="A151">
        <v>1014</v>
      </c>
      <c r="B151" s="1">
        <v>44968</v>
      </c>
      <c r="C151" s="1" t="str">
        <f>TEXT(Sales[[#This Row],[Sale_Date]],"YYYY")</f>
        <v>2023</v>
      </c>
      <c r="D151" s="1" t="str">
        <f>TEXT(Sales[[#This Row],[Sale_Date]],"MMMM")</f>
        <v>February</v>
      </c>
      <c r="E151" s="1" t="str">
        <f>TEXT(Sales[[#This Row],[Sale_Date]],"DDDD")</f>
        <v>Saturday</v>
      </c>
      <c r="F151" t="s">
        <v>23</v>
      </c>
      <c r="G151" t="s">
        <v>20</v>
      </c>
      <c r="H151" s="2">
        <v>823.51</v>
      </c>
      <c r="I151">
        <v>44</v>
      </c>
      <c r="J151" t="s">
        <v>25</v>
      </c>
      <c r="K151" s="2">
        <v>2257.48</v>
      </c>
      <c r="L151" s="2">
        <v>2747.81</v>
      </c>
      <c r="M151" t="s">
        <v>16</v>
      </c>
      <c r="N151">
        <v>0.27</v>
      </c>
      <c r="O151" s="2">
        <f>(Sales[[#This Row],[Unit_Price]]-Sales[[#This Row],[Discount]]*Sales[[#This Row],[Unit_Price]])</f>
        <v>2005.9013</v>
      </c>
      <c r="P151" t="s">
        <v>17</v>
      </c>
      <c r="Q151" t="s">
        <v>18</v>
      </c>
      <c r="R151" t="s">
        <v>46</v>
      </c>
    </row>
    <row r="152" spans="1:18" x14ac:dyDescent="0.35">
      <c r="A152">
        <v>1027</v>
      </c>
      <c r="B152" s="1">
        <v>44941</v>
      </c>
      <c r="C152" s="1" t="str">
        <f>TEXT(Sales[[#This Row],[Sale_Date]],"YYYY")</f>
        <v>2023</v>
      </c>
      <c r="D152" s="1" t="str">
        <f>TEXT(Sales[[#This Row],[Sale_Date]],"MMMM")</f>
        <v>January</v>
      </c>
      <c r="E152" s="1" t="str">
        <f>TEXT(Sales[[#This Row],[Sale_Date]],"DDDD")</f>
        <v>Sunday</v>
      </c>
      <c r="F152" t="s">
        <v>13</v>
      </c>
      <c r="G152" t="s">
        <v>20</v>
      </c>
      <c r="H152" s="2">
        <v>6261.2</v>
      </c>
      <c r="I152">
        <v>26</v>
      </c>
      <c r="J152" t="s">
        <v>25</v>
      </c>
      <c r="K152" s="2">
        <v>149.11000000000001</v>
      </c>
      <c r="L152" s="2">
        <v>477.67</v>
      </c>
      <c r="M152" t="s">
        <v>16</v>
      </c>
      <c r="N152">
        <v>0.14000000000000001</v>
      </c>
      <c r="O152" s="2">
        <f>(Sales[[#This Row],[Unit_Price]]-Sales[[#This Row],[Discount]]*Sales[[#This Row],[Unit_Price]])</f>
        <v>410.7962</v>
      </c>
      <c r="P152" t="s">
        <v>17</v>
      </c>
      <c r="Q152" t="s">
        <v>21</v>
      </c>
      <c r="R152" t="s">
        <v>22</v>
      </c>
    </row>
    <row r="153" spans="1:18" x14ac:dyDescent="0.35">
      <c r="A153">
        <v>1009</v>
      </c>
      <c r="B153" s="1">
        <v>45037</v>
      </c>
      <c r="C153" s="1" t="str">
        <f>TEXT(Sales[[#This Row],[Sale_Date]],"YYYY")</f>
        <v>2023</v>
      </c>
      <c r="D153" s="1" t="str">
        <f>TEXT(Sales[[#This Row],[Sale_Date]],"MMMM")</f>
        <v>April</v>
      </c>
      <c r="E153" s="1" t="str">
        <f>TEXT(Sales[[#This Row],[Sale_Date]],"DDDD")</f>
        <v>Friday</v>
      </c>
      <c r="F153" t="s">
        <v>37</v>
      </c>
      <c r="G153" t="s">
        <v>14</v>
      </c>
      <c r="H153" s="2">
        <v>9813.66</v>
      </c>
      <c r="I153">
        <v>47</v>
      </c>
      <c r="J153" t="s">
        <v>28</v>
      </c>
      <c r="K153" s="2">
        <v>359.41</v>
      </c>
      <c r="L153" s="2">
        <v>733</v>
      </c>
      <c r="M153" t="s">
        <v>16</v>
      </c>
      <c r="N153">
        <v>0.2</v>
      </c>
      <c r="O153" s="2">
        <f>(Sales[[#This Row],[Unit_Price]]-Sales[[#This Row],[Discount]]*Sales[[#This Row],[Unit_Price]])</f>
        <v>586.4</v>
      </c>
      <c r="P153" t="s">
        <v>26</v>
      </c>
      <c r="Q153" t="s">
        <v>21</v>
      </c>
      <c r="R153" t="s">
        <v>39</v>
      </c>
    </row>
    <row r="154" spans="1:18" x14ac:dyDescent="0.35">
      <c r="A154">
        <v>1079</v>
      </c>
      <c r="B154" s="1">
        <v>45083</v>
      </c>
      <c r="C154" s="1" t="str">
        <f>TEXT(Sales[[#This Row],[Sale_Date]],"YYYY")</f>
        <v>2023</v>
      </c>
      <c r="D154" s="1" t="str">
        <f>TEXT(Sales[[#This Row],[Sale_Date]],"MMMM")</f>
        <v>June</v>
      </c>
      <c r="E154" s="1" t="str">
        <f>TEXT(Sales[[#This Row],[Sale_Date]],"DDDD")</f>
        <v>Tuesday</v>
      </c>
      <c r="F154" t="s">
        <v>23</v>
      </c>
      <c r="G154" t="s">
        <v>24</v>
      </c>
      <c r="H154" s="2">
        <v>1982.07</v>
      </c>
      <c r="I154">
        <v>34</v>
      </c>
      <c r="J154" t="s">
        <v>15</v>
      </c>
      <c r="K154" s="2">
        <v>1967.96</v>
      </c>
      <c r="L154" s="2">
        <v>1993.4</v>
      </c>
      <c r="M154" t="s">
        <v>16</v>
      </c>
      <c r="N154">
        <v>0.15</v>
      </c>
      <c r="O154" s="2">
        <f>(Sales[[#This Row],[Unit_Price]]-Sales[[#This Row],[Discount]]*Sales[[#This Row],[Unit_Price]])</f>
        <v>1694.39</v>
      </c>
      <c r="P154" t="s">
        <v>30</v>
      </c>
      <c r="Q154" t="s">
        <v>18</v>
      </c>
      <c r="R154" t="s">
        <v>27</v>
      </c>
    </row>
    <row r="155" spans="1:18" x14ac:dyDescent="0.35">
      <c r="A155">
        <v>1015</v>
      </c>
      <c r="B155" s="1">
        <v>45215</v>
      </c>
      <c r="C155" s="1" t="str">
        <f>TEXT(Sales[[#This Row],[Sale_Date]],"YYYY")</f>
        <v>2023</v>
      </c>
      <c r="D155" s="1" t="str">
        <f>TEXT(Sales[[#This Row],[Sale_Date]],"MMMM")</f>
        <v>October</v>
      </c>
      <c r="E155" s="1" t="str">
        <f>TEXT(Sales[[#This Row],[Sale_Date]],"DDDD")</f>
        <v>Monday</v>
      </c>
      <c r="F155" t="s">
        <v>32</v>
      </c>
      <c r="G155" t="s">
        <v>14</v>
      </c>
      <c r="H155" s="2">
        <v>7946.69</v>
      </c>
      <c r="I155">
        <v>23</v>
      </c>
      <c r="J155" t="s">
        <v>25</v>
      </c>
      <c r="K155" s="2">
        <v>2937.94</v>
      </c>
      <c r="L155" s="2">
        <v>3007.53</v>
      </c>
      <c r="M155" t="s">
        <v>16</v>
      </c>
      <c r="N155">
        <v>0.03</v>
      </c>
      <c r="O155" s="2">
        <f>(Sales[[#This Row],[Unit_Price]]-Sales[[#This Row],[Discount]]*Sales[[#This Row],[Unit_Price]])</f>
        <v>2917.3041000000003</v>
      </c>
      <c r="P155" t="s">
        <v>17</v>
      </c>
      <c r="Q155" t="s">
        <v>21</v>
      </c>
      <c r="R155" t="s">
        <v>52</v>
      </c>
    </row>
    <row r="156" spans="1:18" x14ac:dyDescent="0.35">
      <c r="A156">
        <v>1090</v>
      </c>
      <c r="B156" s="1">
        <v>45157</v>
      </c>
      <c r="C156" s="1" t="str">
        <f>TEXT(Sales[[#This Row],[Sale_Date]],"YYYY")</f>
        <v>2023</v>
      </c>
      <c r="D156" s="1" t="str">
        <f>TEXT(Sales[[#This Row],[Sale_Date]],"MMMM")</f>
        <v>August</v>
      </c>
      <c r="E156" s="1" t="str">
        <f>TEXT(Sales[[#This Row],[Sale_Date]],"DDDD")</f>
        <v>Saturday</v>
      </c>
      <c r="F156" t="s">
        <v>13</v>
      </c>
      <c r="G156" t="s">
        <v>20</v>
      </c>
      <c r="H156" s="2">
        <v>9088.2000000000007</v>
      </c>
      <c r="I156">
        <v>31</v>
      </c>
      <c r="J156" t="s">
        <v>28</v>
      </c>
      <c r="K156" s="2">
        <v>2347.81</v>
      </c>
      <c r="L156" s="2">
        <v>2668.02</v>
      </c>
      <c r="M156" t="s">
        <v>16</v>
      </c>
      <c r="N156">
        <v>0.09</v>
      </c>
      <c r="O156" s="2">
        <f>(Sales[[#This Row],[Unit_Price]]-Sales[[#This Row],[Discount]]*Sales[[#This Row],[Unit_Price]])</f>
        <v>2427.8982000000001</v>
      </c>
      <c r="P156" t="s">
        <v>26</v>
      </c>
      <c r="Q156" t="s">
        <v>21</v>
      </c>
      <c r="R156" t="s">
        <v>22</v>
      </c>
    </row>
    <row r="157" spans="1:18" x14ac:dyDescent="0.35">
      <c r="A157">
        <v>1042</v>
      </c>
      <c r="B157" s="1">
        <v>45083</v>
      </c>
      <c r="C157" s="1" t="str">
        <f>TEXT(Sales[[#This Row],[Sale_Date]],"YYYY")</f>
        <v>2023</v>
      </c>
      <c r="D157" s="1" t="str">
        <f>TEXT(Sales[[#This Row],[Sale_Date]],"MMMM")</f>
        <v>June</v>
      </c>
      <c r="E157" s="1" t="str">
        <f>TEXT(Sales[[#This Row],[Sale_Date]],"DDDD")</f>
        <v>Tuesday</v>
      </c>
      <c r="F157" t="s">
        <v>13</v>
      </c>
      <c r="G157" t="s">
        <v>14</v>
      </c>
      <c r="H157" s="2">
        <v>9442.65</v>
      </c>
      <c r="I157">
        <v>20</v>
      </c>
      <c r="J157" t="s">
        <v>25</v>
      </c>
      <c r="K157" s="2">
        <v>3115.06</v>
      </c>
      <c r="L157" s="2">
        <v>3565.58</v>
      </c>
      <c r="M157" t="s">
        <v>16</v>
      </c>
      <c r="N157">
        <v>0.3</v>
      </c>
      <c r="O157" s="2">
        <f>(Sales[[#This Row],[Unit_Price]]-Sales[[#This Row],[Discount]]*Sales[[#This Row],[Unit_Price]])</f>
        <v>2495.9059999999999</v>
      </c>
      <c r="P157" t="s">
        <v>30</v>
      </c>
      <c r="Q157" t="s">
        <v>21</v>
      </c>
      <c r="R157" t="s">
        <v>19</v>
      </c>
    </row>
    <row r="158" spans="1:18" x14ac:dyDescent="0.35">
      <c r="A158">
        <v>1077</v>
      </c>
      <c r="B158" s="1">
        <v>44964</v>
      </c>
      <c r="C158" s="1" t="str">
        <f>TEXT(Sales[[#This Row],[Sale_Date]],"YYYY")</f>
        <v>2023</v>
      </c>
      <c r="D158" s="1" t="str">
        <f>TEXT(Sales[[#This Row],[Sale_Date]],"MMMM")</f>
        <v>February</v>
      </c>
      <c r="E158" s="1" t="str">
        <f>TEXT(Sales[[#This Row],[Sale_Date]],"DDDD")</f>
        <v>Tuesday</v>
      </c>
      <c r="F158" t="s">
        <v>37</v>
      </c>
      <c r="G158" t="s">
        <v>20</v>
      </c>
      <c r="H158" s="2">
        <v>9605.34</v>
      </c>
      <c r="I158">
        <v>12</v>
      </c>
      <c r="J158" t="s">
        <v>28</v>
      </c>
      <c r="K158" s="2">
        <v>2427.46</v>
      </c>
      <c r="L158" s="2">
        <v>2743.09</v>
      </c>
      <c r="M158" t="s">
        <v>29</v>
      </c>
      <c r="N158">
        <v>0.28999999999999998</v>
      </c>
      <c r="O158" s="2">
        <f>(Sales[[#This Row],[Unit_Price]]-Sales[[#This Row],[Discount]]*Sales[[#This Row],[Unit_Price]])</f>
        <v>1947.5939000000003</v>
      </c>
      <c r="P158" t="s">
        <v>30</v>
      </c>
      <c r="Q158" t="s">
        <v>21</v>
      </c>
      <c r="R158" t="s">
        <v>40</v>
      </c>
    </row>
    <row r="159" spans="1:18" x14ac:dyDescent="0.35">
      <c r="A159">
        <v>1051</v>
      </c>
      <c r="B159" s="1">
        <v>45023</v>
      </c>
      <c r="C159" s="1" t="str">
        <f>TEXT(Sales[[#This Row],[Sale_Date]],"YYYY")</f>
        <v>2023</v>
      </c>
      <c r="D159" s="1" t="str">
        <f>TEXT(Sales[[#This Row],[Sale_Date]],"MMMM")</f>
        <v>April</v>
      </c>
      <c r="E159" s="1" t="str">
        <f>TEXT(Sales[[#This Row],[Sale_Date]],"DDDD")</f>
        <v>Friday</v>
      </c>
      <c r="F159" t="s">
        <v>41</v>
      </c>
      <c r="G159" t="s">
        <v>20</v>
      </c>
      <c r="H159" s="2">
        <v>5262.45</v>
      </c>
      <c r="I159">
        <v>23</v>
      </c>
      <c r="J159" t="s">
        <v>34</v>
      </c>
      <c r="K159" s="2">
        <v>3325.43</v>
      </c>
      <c r="L159" s="2">
        <v>3401.1</v>
      </c>
      <c r="M159" t="s">
        <v>29</v>
      </c>
      <c r="N159">
        <v>0.1</v>
      </c>
      <c r="O159" s="2">
        <f>(Sales[[#This Row],[Unit_Price]]-Sales[[#This Row],[Discount]]*Sales[[#This Row],[Unit_Price]])</f>
        <v>3060.99</v>
      </c>
      <c r="P159" t="s">
        <v>17</v>
      </c>
      <c r="Q159" t="s">
        <v>18</v>
      </c>
      <c r="R159" t="s">
        <v>50</v>
      </c>
    </row>
    <row r="160" spans="1:18" x14ac:dyDescent="0.35">
      <c r="A160">
        <v>1063</v>
      </c>
      <c r="B160" s="1">
        <v>45215</v>
      </c>
      <c r="C160" s="1" t="str">
        <f>TEXT(Sales[[#This Row],[Sale_Date]],"YYYY")</f>
        <v>2023</v>
      </c>
      <c r="D160" s="1" t="str">
        <f>TEXT(Sales[[#This Row],[Sale_Date]],"MMMM")</f>
        <v>October</v>
      </c>
      <c r="E160" s="1" t="str">
        <f>TEXT(Sales[[#This Row],[Sale_Date]],"DDDD")</f>
        <v>Monday</v>
      </c>
      <c r="F160" t="s">
        <v>32</v>
      </c>
      <c r="G160" t="s">
        <v>14</v>
      </c>
      <c r="H160" s="2">
        <v>9775.35</v>
      </c>
      <c r="I160">
        <v>4</v>
      </c>
      <c r="J160" t="s">
        <v>28</v>
      </c>
      <c r="K160" s="2">
        <v>1134.67</v>
      </c>
      <c r="L160" s="2">
        <v>1201.3900000000001</v>
      </c>
      <c r="M160" t="s">
        <v>29</v>
      </c>
      <c r="N160">
        <v>0.3</v>
      </c>
      <c r="O160" s="2">
        <f>(Sales[[#This Row],[Unit_Price]]-Sales[[#This Row],[Discount]]*Sales[[#This Row],[Unit_Price]])</f>
        <v>840.97300000000007</v>
      </c>
      <c r="P160" t="s">
        <v>26</v>
      </c>
      <c r="Q160" t="s">
        <v>21</v>
      </c>
      <c r="R160" t="s">
        <v>52</v>
      </c>
    </row>
    <row r="161" spans="1:18" x14ac:dyDescent="0.35">
      <c r="A161">
        <v>1096</v>
      </c>
      <c r="B161" s="1">
        <v>45180</v>
      </c>
      <c r="C161" s="1" t="str">
        <f>TEXT(Sales[[#This Row],[Sale_Date]],"YYYY")</f>
        <v>2023</v>
      </c>
      <c r="D161" s="1" t="str">
        <f>TEXT(Sales[[#This Row],[Sale_Date]],"MMMM")</f>
        <v>September</v>
      </c>
      <c r="E161" s="1" t="str">
        <f>TEXT(Sales[[#This Row],[Sale_Date]],"DDDD")</f>
        <v>Monday</v>
      </c>
      <c r="F161" t="s">
        <v>37</v>
      </c>
      <c r="G161" t="s">
        <v>24</v>
      </c>
      <c r="H161" s="2">
        <v>7597.37</v>
      </c>
      <c r="I161">
        <v>23</v>
      </c>
      <c r="J161" t="s">
        <v>34</v>
      </c>
      <c r="K161" s="2">
        <v>608.57000000000005</v>
      </c>
      <c r="L161" s="2">
        <v>1032.22</v>
      </c>
      <c r="M161" t="s">
        <v>29</v>
      </c>
      <c r="N161">
        <v>0.25</v>
      </c>
      <c r="O161" s="2">
        <f>(Sales[[#This Row],[Unit_Price]]-Sales[[#This Row],[Discount]]*Sales[[#This Row],[Unit_Price]])</f>
        <v>774.16499999999996</v>
      </c>
      <c r="P161" t="s">
        <v>17</v>
      </c>
      <c r="Q161" t="s">
        <v>21</v>
      </c>
      <c r="R161" t="s">
        <v>38</v>
      </c>
    </row>
    <row r="162" spans="1:18" x14ac:dyDescent="0.35">
      <c r="A162">
        <v>1052</v>
      </c>
      <c r="B162" s="1">
        <v>45122</v>
      </c>
      <c r="C162" s="1" t="str">
        <f>TEXT(Sales[[#This Row],[Sale_Date]],"YYYY")</f>
        <v>2023</v>
      </c>
      <c r="D162" s="1" t="str">
        <f>TEXT(Sales[[#This Row],[Sale_Date]],"MMMM")</f>
        <v>July</v>
      </c>
      <c r="E162" s="1" t="str">
        <f>TEXT(Sales[[#This Row],[Sale_Date]],"DDDD")</f>
        <v>Saturday</v>
      </c>
      <c r="F162" t="s">
        <v>32</v>
      </c>
      <c r="G162" t="s">
        <v>33</v>
      </c>
      <c r="H162" s="2">
        <v>1700.55</v>
      </c>
      <c r="I162">
        <v>48</v>
      </c>
      <c r="J162" t="s">
        <v>25</v>
      </c>
      <c r="K162" s="2">
        <v>3002.35</v>
      </c>
      <c r="L162" s="2">
        <v>3080.61</v>
      </c>
      <c r="M162" t="s">
        <v>16</v>
      </c>
      <c r="N162">
        <v>0.18</v>
      </c>
      <c r="O162" s="2">
        <f>(Sales[[#This Row],[Unit_Price]]-Sales[[#This Row],[Discount]]*Sales[[#This Row],[Unit_Price]])</f>
        <v>2526.1001999999999</v>
      </c>
      <c r="P162" t="s">
        <v>26</v>
      </c>
      <c r="Q162" t="s">
        <v>21</v>
      </c>
      <c r="R162" t="s">
        <v>35</v>
      </c>
    </row>
    <row r="163" spans="1:18" x14ac:dyDescent="0.35">
      <c r="A163">
        <v>1096</v>
      </c>
      <c r="B163" s="1">
        <v>45012</v>
      </c>
      <c r="C163" s="1" t="str">
        <f>TEXT(Sales[[#This Row],[Sale_Date]],"YYYY")</f>
        <v>2023</v>
      </c>
      <c r="D163" s="1" t="str">
        <f>TEXT(Sales[[#This Row],[Sale_Date]],"MMMM")</f>
        <v>March</v>
      </c>
      <c r="E163" s="1" t="str">
        <f>TEXT(Sales[[#This Row],[Sale_Date]],"DDDD")</f>
        <v>Monday</v>
      </c>
      <c r="F163" t="s">
        <v>41</v>
      </c>
      <c r="G163" t="s">
        <v>14</v>
      </c>
      <c r="H163" s="2">
        <v>4821.3100000000004</v>
      </c>
      <c r="I163">
        <v>48</v>
      </c>
      <c r="J163" t="s">
        <v>28</v>
      </c>
      <c r="K163" s="2">
        <v>2449.21</v>
      </c>
      <c r="L163" s="2">
        <v>2714.12</v>
      </c>
      <c r="M163" t="s">
        <v>29</v>
      </c>
      <c r="N163">
        <v>0.01</v>
      </c>
      <c r="O163" s="2">
        <f>(Sales[[#This Row],[Unit_Price]]-Sales[[#This Row],[Discount]]*Sales[[#This Row],[Unit_Price]])</f>
        <v>2686.9787999999999</v>
      </c>
      <c r="P163" t="s">
        <v>30</v>
      </c>
      <c r="Q163" t="s">
        <v>18</v>
      </c>
      <c r="R163" t="s">
        <v>48</v>
      </c>
    </row>
    <row r="164" spans="1:18" x14ac:dyDescent="0.35">
      <c r="A164">
        <v>1004</v>
      </c>
      <c r="B164" s="1">
        <v>45248</v>
      </c>
      <c r="C164" s="1" t="str">
        <f>TEXT(Sales[[#This Row],[Sale_Date]],"YYYY")</f>
        <v>2023</v>
      </c>
      <c r="D164" s="1" t="str">
        <f>TEXT(Sales[[#This Row],[Sale_Date]],"MMMM")</f>
        <v>November</v>
      </c>
      <c r="E164" s="1" t="str">
        <f>TEXT(Sales[[#This Row],[Sale_Date]],"DDDD")</f>
        <v>Saturday</v>
      </c>
      <c r="F164" t="s">
        <v>41</v>
      </c>
      <c r="G164" t="s">
        <v>33</v>
      </c>
      <c r="H164" s="2">
        <v>7211.48</v>
      </c>
      <c r="I164">
        <v>1</v>
      </c>
      <c r="J164" t="s">
        <v>25</v>
      </c>
      <c r="K164" s="2">
        <v>182.99</v>
      </c>
      <c r="L164" s="2">
        <v>211.18</v>
      </c>
      <c r="M164" t="s">
        <v>16</v>
      </c>
      <c r="N164">
        <v>0.27</v>
      </c>
      <c r="O164" s="2">
        <f>(Sales[[#This Row],[Unit_Price]]-Sales[[#This Row],[Discount]]*Sales[[#This Row],[Unit_Price]])</f>
        <v>154.16140000000001</v>
      </c>
      <c r="P164" t="s">
        <v>26</v>
      </c>
      <c r="Q164" t="s">
        <v>21</v>
      </c>
      <c r="R164" t="s">
        <v>51</v>
      </c>
    </row>
    <row r="165" spans="1:18" x14ac:dyDescent="0.35">
      <c r="A165">
        <v>1094</v>
      </c>
      <c r="B165" s="1">
        <v>44936</v>
      </c>
      <c r="C165" s="1" t="str">
        <f>TEXT(Sales[[#This Row],[Sale_Date]],"YYYY")</f>
        <v>2023</v>
      </c>
      <c r="D165" s="1" t="str">
        <f>TEXT(Sales[[#This Row],[Sale_Date]],"MMMM")</f>
        <v>January</v>
      </c>
      <c r="E165" s="1" t="str">
        <f>TEXT(Sales[[#This Row],[Sale_Date]],"DDDD")</f>
        <v>Tuesday</v>
      </c>
      <c r="F165" t="s">
        <v>37</v>
      </c>
      <c r="G165" t="s">
        <v>14</v>
      </c>
      <c r="H165" s="2">
        <v>2548.67</v>
      </c>
      <c r="I165">
        <v>25</v>
      </c>
      <c r="J165" t="s">
        <v>34</v>
      </c>
      <c r="K165" s="2">
        <v>1933.39</v>
      </c>
      <c r="L165" s="2">
        <v>1982.92</v>
      </c>
      <c r="M165" t="s">
        <v>29</v>
      </c>
      <c r="N165">
        <v>0.17</v>
      </c>
      <c r="O165" s="2">
        <f>(Sales[[#This Row],[Unit_Price]]-Sales[[#This Row],[Discount]]*Sales[[#This Row],[Unit_Price]])</f>
        <v>1645.8236000000002</v>
      </c>
      <c r="P165" t="s">
        <v>26</v>
      </c>
      <c r="Q165" t="s">
        <v>18</v>
      </c>
      <c r="R165" t="s">
        <v>39</v>
      </c>
    </row>
    <row r="166" spans="1:18" x14ac:dyDescent="0.35">
      <c r="A166">
        <v>1023</v>
      </c>
      <c r="B166" s="1">
        <v>44931</v>
      </c>
      <c r="C166" s="1" t="str">
        <f>TEXT(Sales[[#This Row],[Sale_Date]],"YYYY")</f>
        <v>2023</v>
      </c>
      <c r="D166" s="1" t="str">
        <f>TEXT(Sales[[#This Row],[Sale_Date]],"MMMM")</f>
        <v>January</v>
      </c>
      <c r="E166" s="1" t="str">
        <f>TEXT(Sales[[#This Row],[Sale_Date]],"DDDD")</f>
        <v>Thursday</v>
      </c>
      <c r="F166" t="s">
        <v>41</v>
      </c>
      <c r="G166" t="s">
        <v>33</v>
      </c>
      <c r="H166" s="2">
        <v>6442.09</v>
      </c>
      <c r="I166">
        <v>2</v>
      </c>
      <c r="J166" t="s">
        <v>28</v>
      </c>
      <c r="K166" s="2">
        <v>575.32000000000005</v>
      </c>
      <c r="L166" s="2">
        <v>914.77</v>
      </c>
      <c r="M166" t="s">
        <v>16</v>
      </c>
      <c r="N166">
        <v>0.26</v>
      </c>
      <c r="O166" s="2">
        <f>(Sales[[#This Row],[Unit_Price]]-Sales[[#This Row],[Discount]]*Sales[[#This Row],[Unit_Price]])</f>
        <v>676.9298</v>
      </c>
      <c r="P166" t="s">
        <v>26</v>
      </c>
      <c r="Q166" t="s">
        <v>18</v>
      </c>
      <c r="R166" t="s">
        <v>51</v>
      </c>
    </row>
    <row r="167" spans="1:18" x14ac:dyDescent="0.35">
      <c r="A167">
        <v>1015</v>
      </c>
      <c r="B167" s="1">
        <v>45049</v>
      </c>
      <c r="C167" s="1" t="str">
        <f>TEXT(Sales[[#This Row],[Sale_Date]],"YYYY")</f>
        <v>2023</v>
      </c>
      <c r="D167" s="1" t="str">
        <f>TEXT(Sales[[#This Row],[Sale_Date]],"MMMM")</f>
        <v>May</v>
      </c>
      <c r="E167" s="1" t="str">
        <f>TEXT(Sales[[#This Row],[Sale_Date]],"DDDD")</f>
        <v>Wednesday</v>
      </c>
      <c r="F167" t="s">
        <v>23</v>
      </c>
      <c r="G167" t="s">
        <v>24</v>
      </c>
      <c r="H167" s="2">
        <v>6699.34</v>
      </c>
      <c r="I167">
        <v>30</v>
      </c>
      <c r="J167" t="s">
        <v>25</v>
      </c>
      <c r="K167" s="2">
        <v>2680.22</v>
      </c>
      <c r="L167" s="2">
        <v>3027.9199999999901</v>
      </c>
      <c r="M167" t="s">
        <v>16</v>
      </c>
      <c r="N167">
        <v>0.25</v>
      </c>
      <c r="O167" s="2">
        <f>(Sales[[#This Row],[Unit_Price]]-Sales[[#This Row],[Discount]]*Sales[[#This Row],[Unit_Price]])</f>
        <v>2270.9399999999923</v>
      </c>
      <c r="P167" t="s">
        <v>26</v>
      </c>
      <c r="Q167" t="s">
        <v>18</v>
      </c>
      <c r="R167" t="s">
        <v>27</v>
      </c>
    </row>
    <row r="168" spans="1:18" x14ac:dyDescent="0.35">
      <c r="A168">
        <v>1043</v>
      </c>
      <c r="B168" s="1">
        <v>45256</v>
      </c>
      <c r="C168" s="1" t="str">
        <f>TEXT(Sales[[#This Row],[Sale_Date]],"YYYY")</f>
        <v>2023</v>
      </c>
      <c r="D168" s="1" t="str">
        <f>TEXT(Sales[[#This Row],[Sale_Date]],"MMMM")</f>
        <v>November</v>
      </c>
      <c r="E168" s="1" t="str">
        <f>TEXT(Sales[[#This Row],[Sale_Date]],"DDDD")</f>
        <v>Sunday</v>
      </c>
      <c r="F168" t="s">
        <v>13</v>
      </c>
      <c r="G168" t="s">
        <v>24</v>
      </c>
      <c r="H168" s="2">
        <v>1710.73</v>
      </c>
      <c r="I168">
        <v>3</v>
      </c>
      <c r="J168" t="s">
        <v>34</v>
      </c>
      <c r="K168" s="2">
        <v>2009.1</v>
      </c>
      <c r="L168" s="2">
        <v>2186.42</v>
      </c>
      <c r="M168" t="s">
        <v>29</v>
      </c>
      <c r="N168">
        <v>0.25</v>
      </c>
      <c r="O168" s="2">
        <f>(Sales[[#This Row],[Unit_Price]]-Sales[[#This Row],[Discount]]*Sales[[#This Row],[Unit_Price]])</f>
        <v>1639.8150000000001</v>
      </c>
      <c r="P168" t="s">
        <v>26</v>
      </c>
      <c r="Q168" t="s">
        <v>18</v>
      </c>
      <c r="R168" t="s">
        <v>31</v>
      </c>
    </row>
    <row r="169" spans="1:18" x14ac:dyDescent="0.35">
      <c r="A169">
        <v>1029</v>
      </c>
      <c r="B169" s="1">
        <v>45279</v>
      </c>
      <c r="C169" s="1" t="str">
        <f>TEXT(Sales[[#This Row],[Sale_Date]],"YYYY")</f>
        <v>2023</v>
      </c>
      <c r="D169" s="1" t="str">
        <f>TEXT(Sales[[#This Row],[Sale_Date]],"MMMM")</f>
        <v>December</v>
      </c>
      <c r="E169" s="1" t="str">
        <f>TEXT(Sales[[#This Row],[Sale_Date]],"DDDD")</f>
        <v>Tuesday</v>
      </c>
      <c r="F169" t="s">
        <v>37</v>
      </c>
      <c r="G169" t="s">
        <v>14</v>
      </c>
      <c r="H169" s="2">
        <v>5694.34</v>
      </c>
      <c r="I169">
        <v>21</v>
      </c>
      <c r="J169" t="s">
        <v>25</v>
      </c>
      <c r="K169" s="2">
        <v>3085.1</v>
      </c>
      <c r="L169" s="2">
        <v>3200.75</v>
      </c>
      <c r="M169" t="s">
        <v>29</v>
      </c>
      <c r="N169">
        <v>0.21</v>
      </c>
      <c r="O169" s="2">
        <f>(Sales[[#This Row],[Unit_Price]]-Sales[[#This Row],[Discount]]*Sales[[#This Row],[Unit_Price]])</f>
        <v>2528.5924999999997</v>
      </c>
      <c r="P169" t="s">
        <v>17</v>
      </c>
      <c r="Q169" t="s">
        <v>21</v>
      </c>
      <c r="R169" t="s">
        <v>39</v>
      </c>
    </row>
    <row r="170" spans="1:18" x14ac:dyDescent="0.35">
      <c r="A170">
        <v>1036</v>
      </c>
      <c r="B170" s="1">
        <v>45044</v>
      </c>
      <c r="C170" s="1" t="str">
        <f>TEXT(Sales[[#This Row],[Sale_Date]],"YYYY")</f>
        <v>2023</v>
      </c>
      <c r="D170" s="1" t="str">
        <f>TEXT(Sales[[#This Row],[Sale_Date]],"MMMM")</f>
        <v>April</v>
      </c>
      <c r="E170" s="1" t="str">
        <f>TEXT(Sales[[#This Row],[Sale_Date]],"DDDD")</f>
        <v>Friday</v>
      </c>
      <c r="F170" t="s">
        <v>32</v>
      </c>
      <c r="G170" t="s">
        <v>20</v>
      </c>
      <c r="H170" s="2">
        <v>7739.11</v>
      </c>
      <c r="I170">
        <v>25</v>
      </c>
      <c r="J170" t="s">
        <v>15</v>
      </c>
      <c r="K170" s="2">
        <v>4037.73</v>
      </c>
      <c r="L170" s="2">
        <v>4446.45</v>
      </c>
      <c r="M170" t="s">
        <v>16</v>
      </c>
      <c r="N170">
        <v>0.09</v>
      </c>
      <c r="O170" s="2">
        <f>(Sales[[#This Row],[Unit_Price]]-Sales[[#This Row],[Discount]]*Sales[[#This Row],[Unit_Price]])</f>
        <v>4046.2694999999999</v>
      </c>
      <c r="P170" t="s">
        <v>26</v>
      </c>
      <c r="Q170" t="s">
        <v>18</v>
      </c>
      <c r="R170" t="s">
        <v>36</v>
      </c>
    </row>
    <row r="171" spans="1:18" x14ac:dyDescent="0.35">
      <c r="A171">
        <v>1013</v>
      </c>
      <c r="B171" s="1">
        <v>45220</v>
      </c>
      <c r="C171" s="1" t="str">
        <f>TEXT(Sales[[#This Row],[Sale_Date]],"YYYY")</f>
        <v>2023</v>
      </c>
      <c r="D171" s="1" t="str">
        <f>TEXT(Sales[[#This Row],[Sale_Date]],"MMMM")</f>
        <v>October</v>
      </c>
      <c r="E171" s="1" t="str">
        <f>TEXT(Sales[[#This Row],[Sale_Date]],"DDDD")</f>
        <v>Saturday</v>
      </c>
      <c r="F171" t="s">
        <v>23</v>
      </c>
      <c r="G171" t="s">
        <v>33</v>
      </c>
      <c r="H171" s="2">
        <v>5039.07</v>
      </c>
      <c r="I171">
        <v>20</v>
      </c>
      <c r="J171" t="s">
        <v>34</v>
      </c>
      <c r="K171" s="2">
        <v>1533.36</v>
      </c>
      <c r="L171" s="2">
        <v>1649.73999999999</v>
      </c>
      <c r="M171" t="s">
        <v>16</v>
      </c>
      <c r="N171">
        <v>0.1</v>
      </c>
      <c r="O171" s="2">
        <f>(Sales[[#This Row],[Unit_Price]]-Sales[[#This Row],[Discount]]*Sales[[#This Row],[Unit_Price]])</f>
        <v>1484.765999999991</v>
      </c>
      <c r="P171" t="s">
        <v>26</v>
      </c>
      <c r="Q171" t="s">
        <v>18</v>
      </c>
      <c r="R171" t="s">
        <v>49</v>
      </c>
    </row>
    <row r="172" spans="1:18" x14ac:dyDescent="0.35">
      <c r="A172">
        <v>1032</v>
      </c>
      <c r="B172" s="1">
        <v>45085</v>
      </c>
      <c r="C172" s="1" t="str">
        <f>TEXT(Sales[[#This Row],[Sale_Date]],"YYYY")</f>
        <v>2023</v>
      </c>
      <c r="D172" s="1" t="str">
        <f>TEXT(Sales[[#This Row],[Sale_Date]],"MMMM")</f>
        <v>June</v>
      </c>
      <c r="E172" s="1" t="str">
        <f>TEXT(Sales[[#This Row],[Sale_Date]],"DDDD")</f>
        <v>Thursday</v>
      </c>
      <c r="F172" t="s">
        <v>37</v>
      </c>
      <c r="G172" t="s">
        <v>20</v>
      </c>
      <c r="H172" s="2">
        <v>219.82</v>
      </c>
      <c r="I172">
        <v>49</v>
      </c>
      <c r="J172" t="s">
        <v>34</v>
      </c>
      <c r="K172" s="2">
        <v>4812.41</v>
      </c>
      <c r="L172" s="2">
        <v>5088</v>
      </c>
      <c r="M172" t="s">
        <v>16</v>
      </c>
      <c r="N172">
        <v>0.09</v>
      </c>
      <c r="O172" s="2">
        <f>(Sales[[#This Row],[Unit_Price]]-Sales[[#This Row],[Discount]]*Sales[[#This Row],[Unit_Price]])</f>
        <v>4630.08</v>
      </c>
      <c r="P172" t="s">
        <v>30</v>
      </c>
      <c r="Q172" t="s">
        <v>18</v>
      </c>
      <c r="R172" t="s">
        <v>40</v>
      </c>
    </row>
    <row r="173" spans="1:18" x14ac:dyDescent="0.35">
      <c r="A173">
        <v>1071</v>
      </c>
      <c r="B173" s="1">
        <v>45229</v>
      </c>
      <c r="C173" s="1" t="str">
        <f>TEXT(Sales[[#This Row],[Sale_Date]],"YYYY")</f>
        <v>2023</v>
      </c>
      <c r="D173" s="1" t="str">
        <f>TEXT(Sales[[#This Row],[Sale_Date]],"MMMM")</f>
        <v>October</v>
      </c>
      <c r="E173" s="1" t="str">
        <f>TEXT(Sales[[#This Row],[Sale_Date]],"DDDD")</f>
        <v>Monday</v>
      </c>
      <c r="F173" t="s">
        <v>41</v>
      </c>
      <c r="G173" t="s">
        <v>20</v>
      </c>
      <c r="H173" s="2">
        <v>189.48</v>
      </c>
      <c r="I173">
        <v>22</v>
      </c>
      <c r="J173" t="s">
        <v>34</v>
      </c>
      <c r="K173" s="2">
        <v>2701.39</v>
      </c>
      <c r="L173" s="2">
        <v>3185.81</v>
      </c>
      <c r="M173" t="s">
        <v>29</v>
      </c>
      <c r="N173">
        <v>0.01</v>
      </c>
      <c r="O173" s="2">
        <f>(Sales[[#This Row],[Unit_Price]]-Sales[[#This Row],[Discount]]*Sales[[#This Row],[Unit_Price]])</f>
        <v>3153.9519</v>
      </c>
      <c r="P173" t="s">
        <v>26</v>
      </c>
      <c r="Q173" t="s">
        <v>18</v>
      </c>
      <c r="R173" t="s">
        <v>50</v>
      </c>
    </row>
    <row r="174" spans="1:18" x14ac:dyDescent="0.35">
      <c r="A174">
        <v>1059</v>
      </c>
      <c r="B174" s="1">
        <v>45154</v>
      </c>
      <c r="C174" s="1" t="str">
        <f>TEXT(Sales[[#This Row],[Sale_Date]],"YYYY")</f>
        <v>2023</v>
      </c>
      <c r="D174" s="1" t="str">
        <f>TEXT(Sales[[#This Row],[Sale_Date]],"MMMM")</f>
        <v>August</v>
      </c>
      <c r="E174" s="1" t="str">
        <f>TEXT(Sales[[#This Row],[Sale_Date]],"DDDD")</f>
        <v>Wednesday</v>
      </c>
      <c r="F174" t="s">
        <v>41</v>
      </c>
      <c r="G174" t="s">
        <v>20</v>
      </c>
      <c r="H174" s="2">
        <v>3634.59</v>
      </c>
      <c r="I174">
        <v>21</v>
      </c>
      <c r="J174" t="s">
        <v>28</v>
      </c>
      <c r="K174" s="2">
        <v>3110.54</v>
      </c>
      <c r="L174" s="2">
        <v>3192.99</v>
      </c>
      <c r="M174" t="s">
        <v>29</v>
      </c>
      <c r="N174">
        <v>0.17</v>
      </c>
      <c r="O174" s="2">
        <f>(Sales[[#This Row],[Unit_Price]]-Sales[[#This Row],[Discount]]*Sales[[#This Row],[Unit_Price]])</f>
        <v>2650.1816999999996</v>
      </c>
      <c r="P174" t="s">
        <v>30</v>
      </c>
      <c r="Q174" t="s">
        <v>18</v>
      </c>
      <c r="R174" t="s">
        <v>50</v>
      </c>
    </row>
    <row r="175" spans="1:18" x14ac:dyDescent="0.35">
      <c r="A175">
        <v>1086</v>
      </c>
      <c r="B175" s="1">
        <v>45291</v>
      </c>
      <c r="C175" s="1" t="str">
        <f>TEXT(Sales[[#This Row],[Sale_Date]],"YYYY")</f>
        <v>2023</v>
      </c>
      <c r="D175" s="1" t="str">
        <f>TEXT(Sales[[#This Row],[Sale_Date]],"MMMM")</f>
        <v>December</v>
      </c>
      <c r="E175" s="1" t="str">
        <f>TEXT(Sales[[#This Row],[Sale_Date]],"DDDD")</f>
        <v>Sunday</v>
      </c>
      <c r="F175" t="s">
        <v>41</v>
      </c>
      <c r="G175" t="s">
        <v>24</v>
      </c>
      <c r="H175" s="2">
        <v>9269.32</v>
      </c>
      <c r="I175">
        <v>33</v>
      </c>
      <c r="J175" t="s">
        <v>28</v>
      </c>
      <c r="K175" s="2">
        <v>3419.33</v>
      </c>
      <c r="L175" s="2">
        <v>3890.3599999999901</v>
      </c>
      <c r="M175" t="s">
        <v>16</v>
      </c>
      <c r="N175">
        <v>0.21</v>
      </c>
      <c r="O175" s="2">
        <f>(Sales[[#This Row],[Unit_Price]]-Sales[[#This Row],[Discount]]*Sales[[#This Row],[Unit_Price]])</f>
        <v>3073.3843999999922</v>
      </c>
      <c r="P175" t="s">
        <v>17</v>
      </c>
      <c r="Q175" t="s">
        <v>21</v>
      </c>
      <c r="R175" t="s">
        <v>42</v>
      </c>
    </row>
    <row r="176" spans="1:18" x14ac:dyDescent="0.35">
      <c r="A176">
        <v>1028</v>
      </c>
      <c r="B176" s="1">
        <v>45142</v>
      </c>
      <c r="C176" s="1" t="str">
        <f>TEXT(Sales[[#This Row],[Sale_Date]],"YYYY")</f>
        <v>2023</v>
      </c>
      <c r="D176" s="1" t="str">
        <f>TEXT(Sales[[#This Row],[Sale_Date]],"MMMM")</f>
        <v>August</v>
      </c>
      <c r="E176" s="1" t="str">
        <f>TEXT(Sales[[#This Row],[Sale_Date]],"DDDD")</f>
        <v>Friday</v>
      </c>
      <c r="F176" t="s">
        <v>41</v>
      </c>
      <c r="G176" t="s">
        <v>14</v>
      </c>
      <c r="H176" s="2">
        <v>2363.9</v>
      </c>
      <c r="I176">
        <v>38</v>
      </c>
      <c r="J176" t="s">
        <v>28</v>
      </c>
      <c r="K176" s="2">
        <v>3350.32</v>
      </c>
      <c r="L176" s="2">
        <v>3449.94</v>
      </c>
      <c r="M176" t="s">
        <v>29</v>
      </c>
      <c r="N176">
        <v>0.26</v>
      </c>
      <c r="O176" s="2">
        <f>(Sales[[#This Row],[Unit_Price]]-Sales[[#This Row],[Discount]]*Sales[[#This Row],[Unit_Price]])</f>
        <v>2552.9556000000002</v>
      </c>
      <c r="P176" t="s">
        <v>17</v>
      </c>
      <c r="Q176" t="s">
        <v>18</v>
      </c>
      <c r="R176" t="s">
        <v>48</v>
      </c>
    </row>
    <row r="177" spans="1:18" x14ac:dyDescent="0.35">
      <c r="A177">
        <v>1066</v>
      </c>
      <c r="B177" s="1">
        <v>45110</v>
      </c>
      <c r="C177" s="1" t="str">
        <f>TEXT(Sales[[#This Row],[Sale_Date]],"YYYY")</f>
        <v>2023</v>
      </c>
      <c r="D177" s="1" t="str">
        <f>TEXT(Sales[[#This Row],[Sale_Date]],"MMMM")</f>
        <v>July</v>
      </c>
      <c r="E177" s="1" t="str">
        <f>TEXT(Sales[[#This Row],[Sale_Date]],"DDDD")</f>
        <v>Monday</v>
      </c>
      <c r="F177" t="s">
        <v>32</v>
      </c>
      <c r="G177" t="s">
        <v>14</v>
      </c>
      <c r="H177" s="2">
        <v>6380.2</v>
      </c>
      <c r="I177">
        <v>15</v>
      </c>
      <c r="J177" t="s">
        <v>15</v>
      </c>
      <c r="K177" s="2">
        <v>2579.31</v>
      </c>
      <c r="L177" s="2">
        <v>2867.36</v>
      </c>
      <c r="M177" t="s">
        <v>16</v>
      </c>
      <c r="N177">
        <v>0.04</v>
      </c>
      <c r="O177" s="2">
        <f>(Sales[[#This Row],[Unit_Price]]-Sales[[#This Row],[Discount]]*Sales[[#This Row],[Unit_Price]])</f>
        <v>2752.6656000000003</v>
      </c>
      <c r="P177" t="s">
        <v>26</v>
      </c>
      <c r="Q177" t="s">
        <v>21</v>
      </c>
      <c r="R177" t="s">
        <v>52</v>
      </c>
    </row>
    <row r="178" spans="1:18" x14ac:dyDescent="0.35">
      <c r="A178">
        <v>1042</v>
      </c>
      <c r="B178" s="1">
        <v>44941</v>
      </c>
      <c r="C178" s="1" t="str">
        <f>TEXT(Sales[[#This Row],[Sale_Date]],"YYYY")</f>
        <v>2023</v>
      </c>
      <c r="D178" s="1" t="str">
        <f>TEXT(Sales[[#This Row],[Sale_Date]],"MMMM")</f>
        <v>January</v>
      </c>
      <c r="E178" s="1" t="str">
        <f>TEXT(Sales[[#This Row],[Sale_Date]],"DDDD")</f>
        <v>Sunday</v>
      </c>
      <c r="F178" t="s">
        <v>23</v>
      </c>
      <c r="G178" t="s">
        <v>24</v>
      </c>
      <c r="H178" s="2">
        <v>2298.5500000000002</v>
      </c>
      <c r="I178">
        <v>46</v>
      </c>
      <c r="J178" t="s">
        <v>15</v>
      </c>
      <c r="K178" s="2">
        <v>2172.38</v>
      </c>
      <c r="L178" s="2">
        <v>2367.11</v>
      </c>
      <c r="M178" t="s">
        <v>29</v>
      </c>
      <c r="N178">
        <v>0.16</v>
      </c>
      <c r="O178" s="2">
        <f>(Sales[[#This Row],[Unit_Price]]-Sales[[#This Row],[Discount]]*Sales[[#This Row],[Unit_Price]])</f>
        <v>1988.3724000000002</v>
      </c>
      <c r="P178" t="s">
        <v>17</v>
      </c>
      <c r="Q178" t="s">
        <v>21</v>
      </c>
      <c r="R178" t="s">
        <v>27</v>
      </c>
    </row>
    <row r="179" spans="1:18" x14ac:dyDescent="0.35">
      <c r="A179">
        <v>1045</v>
      </c>
      <c r="B179" s="1">
        <v>45083</v>
      </c>
      <c r="C179" s="1" t="str">
        <f>TEXT(Sales[[#This Row],[Sale_Date]],"YYYY")</f>
        <v>2023</v>
      </c>
      <c r="D179" s="1" t="str">
        <f>TEXT(Sales[[#This Row],[Sale_Date]],"MMMM")</f>
        <v>June</v>
      </c>
      <c r="E179" s="1" t="str">
        <f>TEXT(Sales[[#This Row],[Sale_Date]],"DDDD")</f>
        <v>Tuesday</v>
      </c>
      <c r="F179" t="s">
        <v>13</v>
      </c>
      <c r="G179" t="s">
        <v>24</v>
      </c>
      <c r="H179" s="2">
        <v>3284.53</v>
      </c>
      <c r="I179">
        <v>15</v>
      </c>
      <c r="J179" t="s">
        <v>34</v>
      </c>
      <c r="K179" s="2">
        <v>316.22000000000003</v>
      </c>
      <c r="L179" s="2">
        <v>799.04</v>
      </c>
      <c r="M179" t="s">
        <v>29</v>
      </c>
      <c r="N179">
        <v>0</v>
      </c>
      <c r="O179" s="2">
        <f>(Sales[[#This Row],[Unit_Price]]-Sales[[#This Row],[Discount]]*Sales[[#This Row],[Unit_Price]])</f>
        <v>799.04</v>
      </c>
      <c r="P179" t="s">
        <v>26</v>
      </c>
      <c r="Q179" t="s">
        <v>18</v>
      </c>
      <c r="R179" t="s">
        <v>31</v>
      </c>
    </row>
    <row r="180" spans="1:18" x14ac:dyDescent="0.35">
      <c r="A180">
        <v>1062</v>
      </c>
      <c r="B180" s="1">
        <v>45062</v>
      </c>
      <c r="C180" s="1" t="str">
        <f>TEXT(Sales[[#This Row],[Sale_Date]],"YYYY")</f>
        <v>2023</v>
      </c>
      <c r="D180" s="1" t="str">
        <f>TEXT(Sales[[#This Row],[Sale_Date]],"MMMM")</f>
        <v>May</v>
      </c>
      <c r="E180" s="1" t="str">
        <f>TEXT(Sales[[#This Row],[Sale_Date]],"DDDD")</f>
        <v>Tuesday</v>
      </c>
      <c r="F180" t="s">
        <v>32</v>
      </c>
      <c r="G180" t="s">
        <v>14</v>
      </c>
      <c r="H180" s="2">
        <v>8495.6200000000008</v>
      </c>
      <c r="I180">
        <v>46</v>
      </c>
      <c r="J180" t="s">
        <v>15</v>
      </c>
      <c r="K180" s="2">
        <v>159.32</v>
      </c>
      <c r="L180" s="2">
        <v>303.36</v>
      </c>
      <c r="M180" t="s">
        <v>29</v>
      </c>
      <c r="N180">
        <v>0.03</v>
      </c>
      <c r="O180" s="2">
        <f>(Sales[[#This Row],[Unit_Price]]-Sales[[#This Row],[Discount]]*Sales[[#This Row],[Unit_Price]])</f>
        <v>294.25920000000002</v>
      </c>
      <c r="P180" t="s">
        <v>17</v>
      </c>
      <c r="Q180" t="s">
        <v>21</v>
      </c>
      <c r="R180" t="s">
        <v>52</v>
      </c>
    </row>
    <row r="181" spans="1:18" x14ac:dyDescent="0.35">
      <c r="A181">
        <v>1057</v>
      </c>
      <c r="B181" s="1">
        <v>45187</v>
      </c>
      <c r="C181" s="1" t="str">
        <f>TEXT(Sales[[#This Row],[Sale_Date]],"YYYY")</f>
        <v>2023</v>
      </c>
      <c r="D181" s="1" t="str">
        <f>TEXT(Sales[[#This Row],[Sale_Date]],"MMMM")</f>
        <v>September</v>
      </c>
      <c r="E181" s="1" t="str">
        <f>TEXT(Sales[[#This Row],[Sale_Date]],"DDDD")</f>
        <v>Monday</v>
      </c>
      <c r="F181" t="s">
        <v>32</v>
      </c>
      <c r="G181" t="s">
        <v>20</v>
      </c>
      <c r="H181" s="2">
        <v>7315.73</v>
      </c>
      <c r="I181">
        <v>25</v>
      </c>
      <c r="J181" t="s">
        <v>25</v>
      </c>
      <c r="K181" s="2">
        <v>1821.91</v>
      </c>
      <c r="L181" s="2">
        <v>2027.74</v>
      </c>
      <c r="M181" t="s">
        <v>29</v>
      </c>
      <c r="N181">
        <v>0.02</v>
      </c>
      <c r="O181" s="2">
        <f>(Sales[[#This Row],[Unit_Price]]-Sales[[#This Row],[Discount]]*Sales[[#This Row],[Unit_Price]])</f>
        <v>1987.1851999999999</v>
      </c>
      <c r="P181" t="s">
        <v>26</v>
      </c>
      <c r="Q181" t="s">
        <v>21</v>
      </c>
      <c r="R181" t="s">
        <v>36</v>
      </c>
    </row>
    <row r="182" spans="1:18" x14ac:dyDescent="0.35">
      <c r="A182">
        <v>1006</v>
      </c>
      <c r="B182" s="1">
        <v>45083</v>
      </c>
      <c r="C182" s="1" t="str">
        <f>TEXT(Sales[[#This Row],[Sale_Date]],"YYYY")</f>
        <v>2023</v>
      </c>
      <c r="D182" s="1" t="str">
        <f>TEXT(Sales[[#This Row],[Sale_Date]],"MMMM")</f>
        <v>June</v>
      </c>
      <c r="E182" s="1" t="str">
        <f>TEXT(Sales[[#This Row],[Sale_Date]],"DDDD")</f>
        <v>Tuesday</v>
      </c>
      <c r="F182" t="s">
        <v>13</v>
      </c>
      <c r="G182" t="s">
        <v>33</v>
      </c>
      <c r="H182" s="2">
        <v>1044.45</v>
      </c>
      <c r="I182">
        <v>21</v>
      </c>
      <c r="J182" t="s">
        <v>34</v>
      </c>
      <c r="K182" s="2">
        <v>1701.62</v>
      </c>
      <c r="L182" s="2">
        <v>2193.2199999999998</v>
      </c>
      <c r="M182" t="s">
        <v>29</v>
      </c>
      <c r="N182">
        <v>0.22</v>
      </c>
      <c r="O182" s="2">
        <f>(Sales[[#This Row],[Unit_Price]]-Sales[[#This Row],[Discount]]*Sales[[#This Row],[Unit_Price]])</f>
        <v>1710.7115999999999</v>
      </c>
      <c r="P182" t="s">
        <v>26</v>
      </c>
      <c r="Q182" t="s">
        <v>21</v>
      </c>
      <c r="R182" t="s">
        <v>45</v>
      </c>
    </row>
    <row r="183" spans="1:18" x14ac:dyDescent="0.35">
      <c r="A183">
        <v>1028</v>
      </c>
      <c r="B183" s="1">
        <v>44973</v>
      </c>
      <c r="C183" s="1" t="str">
        <f>TEXT(Sales[[#This Row],[Sale_Date]],"YYYY")</f>
        <v>2023</v>
      </c>
      <c r="D183" s="1" t="str">
        <f>TEXT(Sales[[#This Row],[Sale_Date]],"MMMM")</f>
        <v>February</v>
      </c>
      <c r="E183" s="1" t="str">
        <f>TEXT(Sales[[#This Row],[Sale_Date]],"DDDD")</f>
        <v>Thursday</v>
      </c>
      <c r="F183" t="s">
        <v>13</v>
      </c>
      <c r="G183" t="s">
        <v>33</v>
      </c>
      <c r="H183" s="2">
        <v>4344.1499999999996</v>
      </c>
      <c r="I183">
        <v>24</v>
      </c>
      <c r="J183" t="s">
        <v>34</v>
      </c>
      <c r="K183" s="2">
        <v>1969.09</v>
      </c>
      <c r="L183" s="2">
        <v>2241.96</v>
      </c>
      <c r="M183" t="s">
        <v>16</v>
      </c>
      <c r="N183">
        <v>0.02</v>
      </c>
      <c r="O183" s="2">
        <f>(Sales[[#This Row],[Unit_Price]]-Sales[[#This Row],[Discount]]*Sales[[#This Row],[Unit_Price]])</f>
        <v>2197.1208000000001</v>
      </c>
      <c r="P183" t="s">
        <v>30</v>
      </c>
      <c r="Q183" t="s">
        <v>18</v>
      </c>
      <c r="R183" t="s">
        <v>45</v>
      </c>
    </row>
    <row r="184" spans="1:18" x14ac:dyDescent="0.35">
      <c r="A184">
        <v>1028</v>
      </c>
      <c r="B184" s="1">
        <v>45250</v>
      </c>
      <c r="C184" s="1" t="str">
        <f>TEXT(Sales[[#This Row],[Sale_Date]],"YYYY")</f>
        <v>2023</v>
      </c>
      <c r="D184" s="1" t="str">
        <f>TEXT(Sales[[#This Row],[Sale_Date]],"MMMM")</f>
        <v>November</v>
      </c>
      <c r="E184" s="1" t="str">
        <f>TEXT(Sales[[#This Row],[Sale_Date]],"DDDD")</f>
        <v>Monday</v>
      </c>
      <c r="F184" t="s">
        <v>41</v>
      </c>
      <c r="G184" t="s">
        <v>33</v>
      </c>
      <c r="H184" s="2">
        <v>388.78</v>
      </c>
      <c r="I184">
        <v>5</v>
      </c>
      <c r="J184" t="s">
        <v>25</v>
      </c>
      <c r="K184" s="2">
        <v>734.92</v>
      </c>
      <c r="L184" s="2">
        <v>991.21</v>
      </c>
      <c r="M184" t="s">
        <v>16</v>
      </c>
      <c r="N184">
        <v>0.21</v>
      </c>
      <c r="O184" s="2">
        <f>(Sales[[#This Row],[Unit_Price]]-Sales[[#This Row],[Discount]]*Sales[[#This Row],[Unit_Price]])</f>
        <v>783.05590000000007</v>
      </c>
      <c r="P184" t="s">
        <v>30</v>
      </c>
      <c r="Q184" t="s">
        <v>18</v>
      </c>
      <c r="R184" t="s">
        <v>51</v>
      </c>
    </row>
    <row r="185" spans="1:18" x14ac:dyDescent="0.35">
      <c r="A185">
        <v>1044</v>
      </c>
      <c r="B185" s="1">
        <v>45258</v>
      </c>
      <c r="C185" s="1" t="str">
        <f>TEXT(Sales[[#This Row],[Sale_Date]],"YYYY")</f>
        <v>2023</v>
      </c>
      <c r="D185" s="1" t="str">
        <f>TEXT(Sales[[#This Row],[Sale_Date]],"MMMM")</f>
        <v>November</v>
      </c>
      <c r="E185" s="1" t="str">
        <f>TEXT(Sales[[#This Row],[Sale_Date]],"DDDD")</f>
        <v>Tuesday</v>
      </c>
      <c r="F185" t="s">
        <v>32</v>
      </c>
      <c r="G185" t="s">
        <v>20</v>
      </c>
      <c r="H185" s="2">
        <v>4860.8100000000004</v>
      </c>
      <c r="I185">
        <v>6</v>
      </c>
      <c r="J185" t="s">
        <v>34</v>
      </c>
      <c r="K185" s="2">
        <v>3703.93</v>
      </c>
      <c r="L185" s="2">
        <v>3840.24</v>
      </c>
      <c r="M185" t="s">
        <v>29</v>
      </c>
      <c r="N185">
        <v>7.0000000000000007E-2</v>
      </c>
      <c r="O185" s="2">
        <f>(Sales[[#This Row],[Unit_Price]]-Sales[[#This Row],[Discount]]*Sales[[#This Row],[Unit_Price]])</f>
        <v>3571.4231999999997</v>
      </c>
      <c r="P185" t="s">
        <v>30</v>
      </c>
      <c r="Q185" t="s">
        <v>18</v>
      </c>
      <c r="R185" t="s">
        <v>36</v>
      </c>
    </row>
    <row r="186" spans="1:18" x14ac:dyDescent="0.35">
      <c r="A186">
        <v>1084</v>
      </c>
      <c r="B186" s="1">
        <v>45099</v>
      </c>
      <c r="C186" s="1" t="str">
        <f>TEXT(Sales[[#This Row],[Sale_Date]],"YYYY")</f>
        <v>2023</v>
      </c>
      <c r="D186" s="1" t="str">
        <f>TEXT(Sales[[#This Row],[Sale_Date]],"MMMM")</f>
        <v>June</v>
      </c>
      <c r="E186" s="1" t="str">
        <f>TEXT(Sales[[#This Row],[Sale_Date]],"DDDD")</f>
        <v>Thursday</v>
      </c>
      <c r="F186" t="s">
        <v>37</v>
      </c>
      <c r="G186" t="s">
        <v>14</v>
      </c>
      <c r="H186" s="2">
        <v>6658.1</v>
      </c>
      <c r="I186">
        <v>49</v>
      </c>
      <c r="J186" t="s">
        <v>15</v>
      </c>
      <c r="K186" s="2">
        <v>4291.97</v>
      </c>
      <c r="L186" s="2">
        <v>4645.6400000000003</v>
      </c>
      <c r="M186" t="s">
        <v>16</v>
      </c>
      <c r="N186">
        <v>0.26</v>
      </c>
      <c r="O186" s="2">
        <f>(Sales[[#This Row],[Unit_Price]]-Sales[[#This Row],[Discount]]*Sales[[#This Row],[Unit_Price]])</f>
        <v>3437.7736000000004</v>
      </c>
      <c r="P186" t="s">
        <v>30</v>
      </c>
      <c r="Q186" t="s">
        <v>18</v>
      </c>
      <c r="R186" t="s">
        <v>39</v>
      </c>
    </row>
    <row r="187" spans="1:18" x14ac:dyDescent="0.35">
      <c r="A187">
        <v>1030</v>
      </c>
      <c r="B187" s="1">
        <v>45056</v>
      </c>
      <c r="C187" s="1" t="str">
        <f>TEXT(Sales[[#This Row],[Sale_Date]],"YYYY")</f>
        <v>2023</v>
      </c>
      <c r="D187" s="1" t="str">
        <f>TEXT(Sales[[#This Row],[Sale_Date]],"MMMM")</f>
        <v>May</v>
      </c>
      <c r="E187" s="1" t="str">
        <f>TEXT(Sales[[#This Row],[Sale_Date]],"DDDD")</f>
        <v>Wednesday</v>
      </c>
      <c r="F187" t="s">
        <v>13</v>
      </c>
      <c r="G187" t="s">
        <v>24</v>
      </c>
      <c r="H187" s="2">
        <v>1273.18</v>
      </c>
      <c r="I187">
        <v>43</v>
      </c>
      <c r="J187" t="s">
        <v>28</v>
      </c>
      <c r="K187" s="2">
        <v>4696.6400000000003</v>
      </c>
      <c r="L187" s="2">
        <v>4713.68</v>
      </c>
      <c r="M187" t="s">
        <v>16</v>
      </c>
      <c r="N187">
        <v>0.24</v>
      </c>
      <c r="O187" s="2">
        <f>(Sales[[#This Row],[Unit_Price]]-Sales[[#This Row],[Discount]]*Sales[[#This Row],[Unit_Price]])</f>
        <v>3582.3968000000004</v>
      </c>
      <c r="P187" t="s">
        <v>26</v>
      </c>
      <c r="Q187" t="s">
        <v>18</v>
      </c>
      <c r="R187" t="s">
        <v>31</v>
      </c>
    </row>
    <row r="188" spans="1:18" x14ac:dyDescent="0.35">
      <c r="A188">
        <v>1062</v>
      </c>
      <c r="B188" s="1">
        <v>45021</v>
      </c>
      <c r="C188" s="1" t="str">
        <f>TEXT(Sales[[#This Row],[Sale_Date]],"YYYY")</f>
        <v>2023</v>
      </c>
      <c r="D188" s="1" t="str">
        <f>TEXT(Sales[[#This Row],[Sale_Date]],"MMMM")</f>
        <v>April</v>
      </c>
      <c r="E188" s="1" t="str">
        <f>TEXT(Sales[[#This Row],[Sale_Date]],"DDDD")</f>
        <v>Wednesday</v>
      </c>
      <c r="F188" t="s">
        <v>13</v>
      </c>
      <c r="G188" t="s">
        <v>14</v>
      </c>
      <c r="H188" s="2">
        <v>2959.96</v>
      </c>
      <c r="I188">
        <v>48</v>
      </c>
      <c r="J188" t="s">
        <v>25</v>
      </c>
      <c r="K188" s="2">
        <v>2487.19</v>
      </c>
      <c r="L188" s="2">
        <v>2521.4499999999998</v>
      </c>
      <c r="M188" t="s">
        <v>29</v>
      </c>
      <c r="N188">
        <v>0.28999999999999998</v>
      </c>
      <c r="O188" s="2">
        <f>(Sales[[#This Row],[Unit_Price]]-Sales[[#This Row],[Discount]]*Sales[[#This Row],[Unit_Price]])</f>
        <v>1790.2294999999999</v>
      </c>
      <c r="P188" t="s">
        <v>17</v>
      </c>
      <c r="Q188" t="s">
        <v>18</v>
      </c>
      <c r="R188" t="s">
        <v>19</v>
      </c>
    </row>
    <row r="189" spans="1:18" x14ac:dyDescent="0.35">
      <c r="A189">
        <v>1075</v>
      </c>
      <c r="B189" s="1">
        <v>45041</v>
      </c>
      <c r="C189" s="1" t="str">
        <f>TEXT(Sales[[#This Row],[Sale_Date]],"YYYY")</f>
        <v>2023</v>
      </c>
      <c r="D189" s="1" t="str">
        <f>TEXT(Sales[[#This Row],[Sale_Date]],"MMMM")</f>
        <v>April</v>
      </c>
      <c r="E189" s="1" t="str">
        <f>TEXT(Sales[[#This Row],[Sale_Date]],"DDDD")</f>
        <v>Tuesday</v>
      </c>
      <c r="F189" t="s">
        <v>23</v>
      </c>
      <c r="G189" t="s">
        <v>20</v>
      </c>
      <c r="H189" s="2">
        <v>4038.58</v>
      </c>
      <c r="I189">
        <v>44</v>
      </c>
      <c r="J189" t="s">
        <v>15</v>
      </c>
      <c r="K189" s="2">
        <v>3519.29</v>
      </c>
      <c r="L189" s="2">
        <v>3822.98</v>
      </c>
      <c r="M189" t="s">
        <v>16</v>
      </c>
      <c r="N189">
        <v>0.27</v>
      </c>
      <c r="O189" s="2">
        <f>(Sales[[#This Row],[Unit_Price]]-Sales[[#This Row],[Discount]]*Sales[[#This Row],[Unit_Price]])</f>
        <v>2790.7754</v>
      </c>
      <c r="P189" t="s">
        <v>26</v>
      </c>
      <c r="Q189" t="s">
        <v>18</v>
      </c>
      <c r="R189" t="s">
        <v>46</v>
      </c>
    </row>
    <row r="190" spans="1:18" x14ac:dyDescent="0.35">
      <c r="A190">
        <v>1092</v>
      </c>
      <c r="B190" s="1">
        <v>45169</v>
      </c>
      <c r="C190" s="1" t="str">
        <f>TEXT(Sales[[#This Row],[Sale_Date]],"YYYY")</f>
        <v>2023</v>
      </c>
      <c r="D190" s="1" t="str">
        <f>TEXT(Sales[[#This Row],[Sale_Date]],"MMMM")</f>
        <v>August</v>
      </c>
      <c r="E190" s="1" t="str">
        <f>TEXT(Sales[[#This Row],[Sale_Date]],"DDDD")</f>
        <v>Thursday</v>
      </c>
      <c r="F190" t="s">
        <v>37</v>
      </c>
      <c r="G190" t="s">
        <v>24</v>
      </c>
      <c r="H190" s="2">
        <v>9203.36</v>
      </c>
      <c r="I190">
        <v>47</v>
      </c>
      <c r="J190" t="s">
        <v>25</v>
      </c>
      <c r="K190" s="2">
        <v>4284.9799999999996</v>
      </c>
      <c r="L190" s="2">
        <v>4462.3999999999996</v>
      </c>
      <c r="M190" t="s">
        <v>29</v>
      </c>
      <c r="N190">
        <v>0.28000000000000003</v>
      </c>
      <c r="O190" s="2">
        <f>(Sales[[#This Row],[Unit_Price]]-Sales[[#This Row],[Discount]]*Sales[[#This Row],[Unit_Price]])</f>
        <v>3212.9279999999999</v>
      </c>
      <c r="P190" t="s">
        <v>30</v>
      </c>
      <c r="Q190" t="s">
        <v>21</v>
      </c>
      <c r="R190" t="s">
        <v>38</v>
      </c>
    </row>
    <row r="191" spans="1:18" x14ac:dyDescent="0.35">
      <c r="A191">
        <v>1089</v>
      </c>
      <c r="B191" s="1">
        <v>45218</v>
      </c>
      <c r="C191" s="1" t="str">
        <f>TEXT(Sales[[#This Row],[Sale_Date]],"YYYY")</f>
        <v>2023</v>
      </c>
      <c r="D191" s="1" t="str">
        <f>TEXT(Sales[[#This Row],[Sale_Date]],"MMMM")</f>
        <v>October</v>
      </c>
      <c r="E191" s="1" t="str">
        <f>TEXT(Sales[[#This Row],[Sale_Date]],"DDDD")</f>
        <v>Thursday</v>
      </c>
      <c r="F191" t="s">
        <v>37</v>
      </c>
      <c r="G191" t="s">
        <v>20</v>
      </c>
      <c r="H191" s="2">
        <v>9933.2199999999993</v>
      </c>
      <c r="I191">
        <v>23</v>
      </c>
      <c r="J191" t="s">
        <v>25</v>
      </c>
      <c r="K191" s="2">
        <v>2120.54</v>
      </c>
      <c r="L191" s="2">
        <v>2597.67</v>
      </c>
      <c r="M191" t="s">
        <v>16</v>
      </c>
      <c r="N191">
        <v>0.26</v>
      </c>
      <c r="O191" s="2">
        <f>(Sales[[#This Row],[Unit_Price]]-Sales[[#This Row],[Discount]]*Sales[[#This Row],[Unit_Price]])</f>
        <v>1922.2757999999999</v>
      </c>
      <c r="P191" t="s">
        <v>30</v>
      </c>
      <c r="Q191" t="s">
        <v>21</v>
      </c>
      <c r="R191" t="s">
        <v>40</v>
      </c>
    </row>
    <row r="192" spans="1:18" x14ac:dyDescent="0.35">
      <c r="A192">
        <v>1062</v>
      </c>
      <c r="B192" s="1">
        <v>45208</v>
      </c>
      <c r="C192" s="1" t="str">
        <f>TEXT(Sales[[#This Row],[Sale_Date]],"YYYY")</f>
        <v>2023</v>
      </c>
      <c r="D192" s="1" t="str">
        <f>TEXT(Sales[[#This Row],[Sale_Date]],"MMMM")</f>
        <v>October</v>
      </c>
      <c r="E192" s="1" t="str">
        <f>TEXT(Sales[[#This Row],[Sale_Date]],"DDDD")</f>
        <v>Monday</v>
      </c>
      <c r="F192" t="s">
        <v>13</v>
      </c>
      <c r="G192" t="s">
        <v>33</v>
      </c>
      <c r="H192" s="2">
        <v>544.62</v>
      </c>
      <c r="I192">
        <v>4</v>
      </c>
      <c r="J192" t="s">
        <v>34</v>
      </c>
      <c r="K192" s="2">
        <v>1581.59</v>
      </c>
      <c r="L192" s="2">
        <v>2034.1499999999901</v>
      </c>
      <c r="M192" t="s">
        <v>16</v>
      </c>
      <c r="N192">
        <v>0.21</v>
      </c>
      <c r="O192" s="2">
        <f>(Sales[[#This Row],[Unit_Price]]-Sales[[#This Row],[Discount]]*Sales[[#This Row],[Unit_Price]])</f>
        <v>1606.9784999999922</v>
      </c>
      <c r="P192" t="s">
        <v>17</v>
      </c>
      <c r="Q192" t="s">
        <v>18</v>
      </c>
      <c r="R192" t="s">
        <v>45</v>
      </c>
    </row>
    <row r="193" spans="1:18" x14ac:dyDescent="0.35">
      <c r="A193">
        <v>1097</v>
      </c>
      <c r="B193" s="1">
        <v>45225</v>
      </c>
      <c r="C193" s="1" t="str">
        <f>TEXT(Sales[[#This Row],[Sale_Date]],"YYYY")</f>
        <v>2023</v>
      </c>
      <c r="D193" s="1" t="str">
        <f>TEXT(Sales[[#This Row],[Sale_Date]],"MMMM")</f>
        <v>October</v>
      </c>
      <c r="E193" s="1" t="str">
        <f>TEXT(Sales[[#This Row],[Sale_Date]],"DDDD")</f>
        <v>Thursday</v>
      </c>
      <c r="F193" t="s">
        <v>41</v>
      </c>
      <c r="G193" t="s">
        <v>33</v>
      </c>
      <c r="H193" s="2">
        <v>7633.98</v>
      </c>
      <c r="I193">
        <v>27</v>
      </c>
      <c r="J193" t="s">
        <v>34</v>
      </c>
      <c r="K193" s="2">
        <v>4686.79</v>
      </c>
      <c r="L193" s="2">
        <v>5046.51</v>
      </c>
      <c r="M193" t="s">
        <v>16</v>
      </c>
      <c r="N193">
        <v>0.05</v>
      </c>
      <c r="O193" s="2">
        <f>(Sales[[#This Row],[Unit_Price]]-Sales[[#This Row],[Discount]]*Sales[[#This Row],[Unit_Price]])</f>
        <v>4794.1845000000003</v>
      </c>
      <c r="P193" t="s">
        <v>30</v>
      </c>
      <c r="Q193" t="s">
        <v>21</v>
      </c>
      <c r="R193" t="s">
        <v>51</v>
      </c>
    </row>
    <row r="194" spans="1:18" x14ac:dyDescent="0.35">
      <c r="A194">
        <v>1001</v>
      </c>
      <c r="B194" s="1">
        <v>45209</v>
      </c>
      <c r="C194" s="1" t="str">
        <f>TEXT(Sales[[#This Row],[Sale_Date]],"YYYY")</f>
        <v>2023</v>
      </c>
      <c r="D194" s="1" t="str">
        <f>TEXT(Sales[[#This Row],[Sale_Date]],"MMMM")</f>
        <v>October</v>
      </c>
      <c r="E194" s="1" t="str">
        <f>TEXT(Sales[[#This Row],[Sale_Date]],"DDDD")</f>
        <v>Tuesday</v>
      </c>
      <c r="F194" t="s">
        <v>23</v>
      </c>
      <c r="G194" t="s">
        <v>20</v>
      </c>
      <c r="H194" s="2">
        <v>3780.07</v>
      </c>
      <c r="I194">
        <v>18</v>
      </c>
      <c r="J194" t="s">
        <v>15</v>
      </c>
      <c r="K194" s="2">
        <v>2602.6</v>
      </c>
      <c r="L194" s="2">
        <v>3013.49</v>
      </c>
      <c r="M194" t="s">
        <v>16</v>
      </c>
      <c r="N194">
        <v>0.08</v>
      </c>
      <c r="O194" s="2">
        <f>(Sales[[#This Row],[Unit_Price]]-Sales[[#This Row],[Discount]]*Sales[[#This Row],[Unit_Price]])</f>
        <v>2772.4107999999997</v>
      </c>
      <c r="P194" t="s">
        <v>26</v>
      </c>
      <c r="Q194" t="s">
        <v>18</v>
      </c>
      <c r="R194" t="s">
        <v>46</v>
      </c>
    </row>
    <row r="195" spans="1:18" x14ac:dyDescent="0.35">
      <c r="A195">
        <v>1027</v>
      </c>
      <c r="B195" s="1">
        <v>44995</v>
      </c>
      <c r="C195" s="1" t="str">
        <f>TEXT(Sales[[#This Row],[Sale_Date]],"YYYY")</f>
        <v>2023</v>
      </c>
      <c r="D195" s="1" t="str">
        <f>TEXT(Sales[[#This Row],[Sale_Date]],"MMMM")</f>
        <v>March</v>
      </c>
      <c r="E195" s="1" t="str">
        <f>TEXT(Sales[[#This Row],[Sale_Date]],"DDDD")</f>
        <v>Friday</v>
      </c>
      <c r="F195" t="s">
        <v>37</v>
      </c>
      <c r="G195" t="s">
        <v>24</v>
      </c>
      <c r="H195" s="2">
        <v>3985.34</v>
      </c>
      <c r="I195">
        <v>21</v>
      </c>
      <c r="J195" t="s">
        <v>25</v>
      </c>
      <c r="K195" s="2">
        <v>2511.41</v>
      </c>
      <c r="L195" s="2">
        <v>2848.3999999999901</v>
      </c>
      <c r="M195" t="s">
        <v>16</v>
      </c>
      <c r="N195">
        <v>0.06</v>
      </c>
      <c r="O195" s="2">
        <f>(Sales[[#This Row],[Unit_Price]]-Sales[[#This Row],[Discount]]*Sales[[#This Row],[Unit_Price]])</f>
        <v>2677.4959999999905</v>
      </c>
      <c r="P195" t="s">
        <v>26</v>
      </c>
      <c r="Q195" t="s">
        <v>18</v>
      </c>
      <c r="R195" t="s">
        <v>38</v>
      </c>
    </row>
    <row r="196" spans="1:18" x14ac:dyDescent="0.35">
      <c r="A196">
        <v>1062</v>
      </c>
      <c r="B196" s="1">
        <v>45074</v>
      </c>
      <c r="C196" s="1" t="str">
        <f>TEXT(Sales[[#This Row],[Sale_Date]],"YYYY")</f>
        <v>2023</v>
      </c>
      <c r="D196" s="1" t="str">
        <f>TEXT(Sales[[#This Row],[Sale_Date]],"MMMM")</f>
        <v>May</v>
      </c>
      <c r="E196" s="1" t="str">
        <f>TEXT(Sales[[#This Row],[Sale_Date]],"DDDD")</f>
        <v>Sunday</v>
      </c>
      <c r="F196" t="s">
        <v>13</v>
      </c>
      <c r="G196" t="s">
        <v>24</v>
      </c>
      <c r="H196" s="2">
        <v>7567.22</v>
      </c>
      <c r="I196">
        <v>28</v>
      </c>
      <c r="J196" t="s">
        <v>34</v>
      </c>
      <c r="K196" s="2">
        <v>933.16</v>
      </c>
      <c r="L196" s="2">
        <v>1004.69999999999</v>
      </c>
      <c r="M196" t="s">
        <v>16</v>
      </c>
      <c r="N196">
        <v>0.18</v>
      </c>
      <c r="O196" s="2">
        <f>(Sales[[#This Row],[Unit_Price]]-Sales[[#This Row],[Discount]]*Sales[[#This Row],[Unit_Price]])</f>
        <v>823.85399999999186</v>
      </c>
      <c r="P196" t="s">
        <v>26</v>
      </c>
      <c r="Q196" t="s">
        <v>18</v>
      </c>
      <c r="R196" t="s">
        <v>31</v>
      </c>
    </row>
    <row r="197" spans="1:18" x14ac:dyDescent="0.35">
      <c r="A197">
        <v>1077</v>
      </c>
      <c r="B197" s="1">
        <v>44937</v>
      </c>
      <c r="C197" s="1" t="str">
        <f>TEXT(Sales[[#This Row],[Sale_Date]],"YYYY")</f>
        <v>2023</v>
      </c>
      <c r="D197" s="1" t="str">
        <f>TEXT(Sales[[#This Row],[Sale_Date]],"MMMM")</f>
        <v>January</v>
      </c>
      <c r="E197" s="1" t="str">
        <f>TEXT(Sales[[#This Row],[Sale_Date]],"DDDD")</f>
        <v>Wednesday</v>
      </c>
      <c r="F197" t="s">
        <v>37</v>
      </c>
      <c r="G197" t="s">
        <v>14</v>
      </c>
      <c r="H197" s="2">
        <v>9192.42</v>
      </c>
      <c r="I197">
        <v>35</v>
      </c>
      <c r="J197" t="s">
        <v>34</v>
      </c>
      <c r="K197" s="2">
        <v>585.37</v>
      </c>
      <c r="L197" s="2">
        <v>970.49</v>
      </c>
      <c r="M197" t="s">
        <v>16</v>
      </c>
      <c r="N197">
        <v>0.15</v>
      </c>
      <c r="O197" s="2">
        <f>(Sales[[#This Row],[Unit_Price]]-Sales[[#This Row],[Discount]]*Sales[[#This Row],[Unit_Price]])</f>
        <v>824.91650000000004</v>
      </c>
      <c r="P197" t="s">
        <v>26</v>
      </c>
      <c r="Q197" t="s">
        <v>21</v>
      </c>
      <c r="R197" t="s">
        <v>39</v>
      </c>
    </row>
    <row r="198" spans="1:18" x14ac:dyDescent="0.35">
      <c r="A198">
        <v>1003</v>
      </c>
      <c r="B198" s="1">
        <v>45180</v>
      </c>
      <c r="C198" s="1" t="str">
        <f>TEXT(Sales[[#This Row],[Sale_Date]],"YYYY")</f>
        <v>2023</v>
      </c>
      <c r="D198" s="1" t="str">
        <f>TEXT(Sales[[#This Row],[Sale_Date]],"MMMM")</f>
        <v>September</v>
      </c>
      <c r="E198" s="1" t="str">
        <f>TEXT(Sales[[#This Row],[Sale_Date]],"DDDD")</f>
        <v>Monday</v>
      </c>
      <c r="F198" t="s">
        <v>23</v>
      </c>
      <c r="G198" t="s">
        <v>33</v>
      </c>
      <c r="H198" s="2">
        <v>9514.19</v>
      </c>
      <c r="I198">
        <v>22</v>
      </c>
      <c r="J198" t="s">
        <v>25</v>
      </c>
      <c r="K198" s="2">
        <v>4218.43</v>
      </c>
      <c r="L198" s="2">
        <v>4331.42</v>
      </c>
      <c r="M198" t="s">
        <v>29</v>
      </c>
      <c r="N198">
        <v>0.26</v>
      </c>
      <c r="O198" s="2">
        <f>(Sales[[#This Row],[Unit_Price]]-Sales[[#This Row],[Discount]]*Sales[[#This Row],[Unit_Price]])</f>
        <v>3205.2507999999998</v>
      </c>
      <c r="P198" t="s">
        <v>26</v>
      </c>
      <c r="Q198" t="s">
        <v>18</v>
      </c>
      <c r="R198" t="s">
        <v>49</v>
      </c>
    </row>
    <row r="199" spans="1:18" x14ac:dyDescent="0.35">
      <c r="A199">
        <v>1070</v>
      </c>
      <c r="B199" s="1">
        <v>45256</v>
      </c>
      <c r="C199" s="1" t="str">
        <f>TEXT(Sales[[#This Row],[Sale_Date]],"YYYY")</f>
        <v>2023</v>
      </c>
      <c r="D199" s="1" t="str">
        <f>TEXT(Sales[[#This Row],[Sale_Date]],"MMMM")</f>
        <v>November</v>
      </c>
      <c r="E199" s="1" t="str">
        <f>TEXT(Sales[[#This Row],[Sale_Date]],"DDDD")</f>
        <v>Sunday</v>
      </c>
      <c r="F199" t="s">
        <v>23</v>
      </c>
      <c r="G199" t="s">
        <v>14</v>
      </c>
      <c r="H199" s="2">
        <v>5813.51</v>
      </c>
      <c r="I199">
        <v>40</v>
      </c>
      <c r="J199" t="s">
        <v>15</v>
      </c>
      <c r="K199" s="2">
        <v>3089.96</v>
      </c>
      <c r="L199" s="2">
        <v>3258.45</v>
      </c>
      <c r="M199" t="s">
        <v>29</v>
      </c>
      <c r="N199">
        <v>0.28999999999999998</v>
      </c>
      <c r="O199" s="2">
        <f>(Sales[[#This Row],[Unit_Price]]-Sales[[#This Row],[Discount]]*Sales[[#This Row],[Unit_Price]])</f>
        <v>2313.4994999999999</v>
      </c>
      <c r="P199" t="s">
        <v>17</v>
      </c>
      <c r="Q199" t="s">
        <v>18</v>
      </c>
      <c r="R199" t="s">
        <v>44</v>
      </c>
    </row>
    <row r="200" spans="1:18" x14ac:dyDescent="0.35">
      <c r="A200">
        <v>1072</v>
      </c>
      <c r="B200" s="1">
        <v>45286</v>
      </c>
      <c r="C200" s="1" t="str">
        <f>TEXT(Sales[[#This Row],[Sale_Date]],"YYYY")</f>
        <v>2023</v>
      </c>
      <c r="D200" s="1" t="str">
        <f>TEXT(Sales[[#This Row],[Sale_Date]],"MMMM")</f>
        <v>December</v>
      </c>
      <c r="E200" s="1" t="str">
        <f>TEXT(Sales[[#This Row],[Sale_Date]],"DDDD")</f>
        <v>Tuesday</v>
      </c>
      <c r="F200" t="s">
        <v>32</v>
      </c>
      <c r="G200" t="s">
        <v>14</v>
      </c>
      <c r="H200" s="2">
        <v>3635.5</v>
      </c>
      <c r="I200">
        <v>23</v>
      </c>
      <c r="J200" t="s">
        <v>15</v>
      </c>
      <c r="K200" s="2">
        <v>1662.83</v>
      </c>
      <c r="L200" s="2">
        <v>2074.25</v>
      </c>
      <c r="M200" t="s">
        <v>29</v>
      </c>
      <c r="N200">
        <v>0.12</v>
      </c>
      <c r="O200" s="2">
        <f>(Sales[[#This Row],[Unit_Price]]-Sales[[#This Row],[Discount]]*Sales[[#This Row],[Unit_Price]])</f>
        <v>1825.34</v>
      </c>
      <c r="P200" t="s">
        <v>26</v>
      </c>
      <c r="Q200" t="s">
        <v>18</v>
      </c>
      <c r="R200" t="s">
        <v>52</v>
      </c>
    </row>
    <row r="201" spans="1:18" x14ac:dyDescent="0.35">
      <c r="A201">
        <v>1027</v>
      </c>
      <c r="B201" s="1">
        <v>44964</v>
      </c>
      <c r="C201" s="1" t="str">
        <f>TEXT(Sales[[#This Row],[Sale_Date]],"YYYY")</f>
        <v>2023</v>
      </c>
      <c r="D201" s="1" t="str">
        <f>TEXT(Sales[[#This Row],[Sale_Date]],"MMMM")</f>
        <v>February</v>
      </c>
      <c r="E201" s="1" t="str">
        <f>TEXT(Sales[[#This Row],[Sale_Date]],"DDDD")</f>
        <v>Tuesday</v>
      </c>
      <c r="F201" t="s">
        <v>13</v>
      </c>
      <c r="G201" t="s">
        <v>20</v>
      </c>
      <c r="H201" s="2">
        <v>7896.74</v>
      </c>
      <c r="I201">
        <v>3</v>
      </c>
      <c r="J201" t="s">
        <v>25</v>
      </c>
      <c r="K201" s="2">
        <v>999.09</v>
      </c>
      <c r="L201" s="2">
        <v>1271.99</v>
      </c>
      <c r="M201" t="s">
        <v>29</v>
      </c>
      <c r="N201">
        <v>0.15</v>
      </c>
      <c r="O201" s="2">
        <f>(Sales[[#This Row],[Unit_Price]]-Sales[[#This Row],[Discount]]*Sales[[#This Row],[Unit_Price]])</f>
        <v>1081.1914999999999</v>
      </c>
      <c r="P201" t="s">
        <v>30</v>
      </c>
      <c r="Q201" t="s">
        <v>18</v>
      </c>
      <c r="R201" t="s">
        <v>22</v>
      </c>
    </row>
    <row r="202" spans="1:18" x14ac:dyDescent="0.35">
      <c r="A202">
        <v>1009</v>
      </c>
      <c r="B202" s="1">
        <v>45060</v>
      </c>
      <c r="C202" s="1" t="str">
        <f>TEXT(Sales[[#This Row],[Sale_Date]],"YYYY")</f>
        <v>2023</v>
      </c>
      <c r="D202" s="1" t="str">
        <f>TEXT(Sales[[#This Row],[Sale_Date]],"MMMM")</f>
        <v>May</v>
      </c>
      <c r="E202" s="1" t="str">
        <f>TEXT(Sales[[#This Row],[Sale_Date]],"DDDD")</f>
        <v>Sunday</v>
      </c>
      <c r="F202" t="s">
        <v>23</v>
      </c>
      <c r="G202" t="s">
        <v>20</v>
      </c>
      <c r="H202" s="2">
        <v>2584.91</v>
      </c>
      <c r="I202">
        <v>40</v>
      </c>
      <c r="J202" t="s">
        <v>15</v>
      </c>
      <c r="K202" s="2">
        <v>2799.71</v>
      </c>
      <c r="L202" s="2">
        <v>3231.08</v>
      </c>
      <c r="M202" t="s">
        <v>16</v>
      </c>
      <c r="N202">
        <v>0.28999999999999998</v>
      </c>
      <c r="O202" s="2">
        <f>(Sales[[#This Row],[Unit_Price]]-Sales[[#This Row],[Discount]]*Sales[[#This Row],[Unit_Price]])</f>
        <v>2294.0668000000001</v>
      </c>
      <c r="P202" t="s">
        <v>30</v>
      </c>
      <c r="Q202" t="s">
        <v>21</v>
      </c>
      <c r="R202" t="s">
        <v>46</v>
      </c>
    </row>
    <row r="203" spans="1:18" x14ac:dyDescent="0.35">
      <c r="A203">
        <v>1062</v>
      </c>
      <c r="B203" s="1">
        <v>45126</v>
      </c>
      <c r="C203" s="1" t="str">
        <f>TEXT(Sales[[#This Row],[Sale_Date]],"YYYY")</f>
        <v>2023</v>
      </c>
      <c r="D203" s="1" t="str">
        <f>TEXT(Sales[[#This Row],[Sale_Date]],"MMMM")</f>
        <v>July</v>
      </c>
      <c r="E203" s="1" t="str">
        <f>TEXT(Sales[[#This Row],[Sale_Date]],"DDDD")</f>
        <v>Wednesday</v>
      </c>
      <c r="F203" t="s">
        <v>32</v>
      </c>
      <c r="G203" t="s">
        <v>14</v>
      </c>
      <c r="H203" s="2">
        <v>5684.33</v>
      </c>
      <c r="I203">
        <v>10</v>
      </c>
      <c r="J203" t="s">
        <v>34</v>
      </c>
      <c r="K203" s="2">
        <v>2940.4</v>
      </c>
      <c r="L203" s="2">
        <v>3054.79</v>
      </c>
      <c r="M203" t="s">
        <v>16</v>
      </c>
      <c r="N203">
        <v>0.08</v>
      </c>
      <c r="O203" s="2">
        <f>(Sales[[#This Row],[Unit_Price]]-Sales[[#This Row],[Discount]]*Sales[[#This Row],[Unit_Price]])</f>
        <v>2810.4067999999997</v>
      </c>
      <c r="P203" t="s">
        <v>30</v>
      </c>
      <c r="Q203" t="s">
        <v>18</v>
      </c>
      <c r="R203" t="s">
        <v>52</v>
      </c>
    </row>
    <row r="204" spans="1:18" x14ac:dyDescent="0.35">
      <c r="A204">
        <v>1037</v>
      </c>
      <c r="B204" s="1">
        <v>44949</v>
      </c>
      <c r="C204" s="1" t="str">
        <f>TEXT(Sales[[#This Row],[Sale_Date]],"YYYY")</f>
        <v>2023</v>
      </c>
      <c r="D204" s="1" t="str">
        <f>TEXT(Sales[[#This Row],[Sale_Date]],"MMMM")</f>
        <v>January</v>
      </c>
      <c r="E204" s="1" t="str">
        <f>TEXT(Sales[[#This Row],[Sale_Date]],"DDDD")</f>
        <v>Monday</v>
      </c>
      <c r="F204" t="s">
        <v>32</v>
      </c>
      <c r="G204" t="s">
        <v>33</v>
      </c>
      <c r="H204" s="2">
        <v>3649.93</v>
      </c>
      <c r="I204">
        <v>25</v>
      </c>
      <c r="J204" t="s">
        <v>25</v>
      </c>
      <c r="K204" s="2">
        <v>1074.6199999999999</v>
      </c>
      <c r="L204" s="2">
        <v>1382.4299999999901</v>
      </c>
      <c r="M204" t="s">
        <v>16</v>
      </c>
      <c r="N204">
        <v>0.24</v>
      </c>
      <c r="O204" s="2">
        <f>(Sales[[#This Row],[Unit_Price]]-Sales[[#This Row],[Discount]]*Sales[[#This Row],[Unit_Price]])</f>
        <v>1050.6467999999925</v>
      </c>
      <c r="P204" t="s">
        <v>30</v>
      </c>
      <c r="Q204" t="s">
        <v>21</v>
      </c>
      <c r="R204" t="s">
        <v>35</v>
      </c>
    </row>
    <row r="205" spans="1:18" x14ac:dyDescent="0.35">
      <c r="A205">
        <v>1097</v>
      </c>
      <c r="B205" s="1">
        <v>45229</v>
      </c>
      <c r="C205" s="1" t="str">
        <f>TEXT(Sales[[#This Row],[Sale_Date]],"YYYY")</f>
        <v>2023</v>
      </c>
      <c r="D205" s="1" t="str">
        <f>TEXT(Sales[[#This Row],[Sale_Date]],"MMMM")</f>
        <v>October</v>
      </c>
      <c r="E205" s="1" t="str">
        <f>TEXT(Sales[[#This Row],[Sale_Date]],"DDDD")</f>
        <v>Monday</v>
      </c>
      <c r="F205" t="s">
        <v>37</v>
      </c>
      <c r="G205" t="s">
        <v>20</v>
      </c>
      <c r="H205" s="2">
        <v>6600.65</v>
      </c>
      <c r="I205">
        <v>49</v>
      </c>
      <c r="J205" t="s">
        <v>34</v>
      </c>
      <c r="K205" s="2">
        <v>4264.46</v>
      </c>
      <c r="L205" s="2">
        <v>4315.5200000000004</v>
      </c>
      <c r="M205" t="s">
        <v>29</v>
      </c>
      <c r="N205">
        <v>7.0000000000000007E-2</v>
      </c>
      <c r="O205" s="2">
        <f>(Sales[[#This Row],[Unit_Price]]-Sales[[#This Row],[Discount]]*Sales[[#This Row],[Unit_Price]])</f>
        <v>4013.4336000000003</v>
      </c>
      <c r="P205" t="s">
        <v>17</v>
      </c>
      <c r="Q205" t="s">
        <v>21</v>
      </c>
      <c r="R205" t="s">
        <v>40</v>
      </c>
    </row>
    <row r="206" spans="1:18" x14ac:dyDescent="0.35">
      <c r="A206">
        <v>1051</v>
      </c>
      <c r="B206" s="1">
        <v>45272</v>
      </c>
      <c r="C206" s="1" t="str">
        <f>TEXT(Sales[[#This Row],[Sale_Date]],"YYYY")</f>
        <v>2023</v>
      </c>
      <c r="D206" s="1" t="str">
        <f>TEXT(Sales[[#This Row],[Sale_Date]],"MMMM")</f>
        <v>December</v>
      </c>
      <c r="E206" s="1" t="str">
        <f>TEXT(Sales[[#This Row],[Sale_Date]],"DDDD")</f>
        <v>Tuesday</v>
      </c>
      <c r="F206" t="s">
        <v>37</v>
      </c>
      <c r="G206" t="s">
        <v>14</v>
      </c>
      <c r="H206" s="2">
        <v>2479.9499999999998</v>
      </c>
      <c r="I206">
        <v>8</v>
      </c>
      <c r="J206" t="s">
        <v>28</v>
      </c>
      <c r="K206" s="2">
        <v>467.11</v>
      </c>
      <c r="L206" s="2">
        <v>792.21</v>
      </c>
      <c r="M206" t="s">
        <v>29</v>
      </c>
      <c r="N206">
        <v>0.2</v>
      </c>
      <c r="O206" s="2">
        <f>(Sales[[#This Row],[Unit_Price]]-Sales[[#This Row],[Discount]]*Sales[[#This Row],[Unit_Price]])</f>
        <v>633.76800000000003</v>
      </c>
      <c r="P206" t="s">
        <v>30</v>
      </c>
      <c r="Q206" t="s">
        <v>18</v>
      </c>
      <c r="R206" t="s">
        <v>39</v>
      </c>
    </row>
    <row r="207" spans="1:18" x14ac:dyDescent="0.35">
      <c r="A207">
        <v>1044</v>
      </c>
      <c r="B207" s="1">
        <v>45228</v>
      </c>
      <c r="C207" s="1" t="str">
        <f>TEXT(Sales[[#This Row],[Sale_Date]],"YYYY")</f>
        <v>2023</v>
      </c>
      <c r="D207" s="1" t="str">
        <f>TEXT(Sales[[#This Row],[Sale_Date]],"MMMM")</f>
        <v>October</v>
      </c>
      <c r="E207" s="1" t="str">
        <f>TEXT(Sales[[#This Row],[Sale_Date]],"DDDD")</f>
        <v>Sunday</v>
      </c>
      <c r="F207" t="s">
        <v>32</v>
      </c>
      <c r="G207" t="s">
        <v>14</v>
      </c>
      <c r="H207" s="2">
        <v>1996.77</v>
      </c>
      <c r="I207">
        <v>11</v>
      </c>
      <c r="J207" t="s">
        <v>28</v>
      </c>
      <c r="K207" s="2">
        <v>1812.66</v>
      </c>
      <c r="L207" s="2">
        <v>2196.3000000000002</v>
      </c>
      <c r="M207" t="s">
        <v>29</v>
      </c>
      <c r="N207">
        <v>0.08</v>
      </c>
      <c r="O207" s="2">
        <f>(Sales[[#This Row],[Unit_Price]]-Sales[[#This Row],[Discount]]*Sales[[#This Row],[Unit_Price]])</f>
        <v>2020.5960000000002</v>
      </c>
      <c r="P207" t="s">
        <v>17</v>
      </c>
      <c r="Q207" t="s">
        <v>18</v>
      </c>
      <c r="R207" t="s">
        <v>52</v>
      </c>
    </row>
    <row r="208" spans="1:18" x14ac:dyDescent="0.35">
      <c r="A208">
        <v>1024</v>
      </c>
      <c r="B208" s="1">
        <v>45289</v>
      </c>
      <c r="C208" s="1" t="str">
        <f>TEXT(Sales[[#This Row],[Sale_Date]],"YYYY")</f>
        <v>2023</v>
      </c>
      <c r="D208" s="1" t="str">
        <f>TEXT(Sales[[#This Row],[Sale_Date]],"MMMM")</f>
        <v>December</v>
      </c>
      <c r="E208" s="1" t="str">
        <f>TEXT(Sales[[#This Row],[Sale_Date]],"DDDD")</f>
        <v>Friday</v>
      </c>
      <c r="F208" t="s">
        <v>37</v>
      </c>
      <c r="G208" t="s">
        <v>14</v>
      </c>
      <c r="H208" s="2">
        <v>9190.57</v>
      </c>
      <c r="I208">
        <v>5</v>
      </c>
      <c r="J208" t="s">
        <v>15</v>
      </c>
      <c r="K208" s="2">
        <v>3417.9</v>
      </c>
      <c r="L208" s="2">
        <v>3714.52</v>
      </c>
      <c r="M208" t="s">
        <v>16</v>
      </c>
      <c r="N208">
        <v>0.27</v>
      </c>
      <c r="O208" s="2">
        <f>(Sales[[#This Row],[Unit_Price]]-Sales[[#This Row],[Discount]]*Sales[[#This Row],[Unit_Price]])</f>
        <v>2711.5996</v>
      </c>
      <c r="P208" t="s">
        <v>30</v>
      </c>
      <c r="Q208" t="s">
        <v>21</v>
      </c>
      <c r="R208" t="s">
        <v>39</v>
      </c>
    </row>
    <row r="209" spans="1:18" x14ac:dyDescent="0.35">
      <c r="A209">
        <v>1079</v>
      </c>
      <c r="B209" s="1">
        <v>45144</v>
      </c>
      <c r="C209" s="1" t="str">
        <f>TEXT(Sales[[#This Row],[Sale_Date]],"YYYY")</f>
        <v>2023</v>
      </c>
      <c r="D209" s="1" t="str">
        <f>TEXT(Sales[[#This Row],[Sale_Date]],"MMMM")</f>
        <v>August</v>
      </c>
      <c r="E209" s="1" t="str">
        <f>TEXT(Sales[[#This Row],[Sale_Date]],"DDDD")</f>
        <v>Sunday</v>
      </c>
      <c r="F209" t="s">
        <v>23</v>
      </c>
      <c r="G209" t="s">
        <v>14</v>
      </c>
      <c r="H209" s="2">
        <v>1107.8599999999999</v>
      </c>
      <c r="I209">
        <v>45</v>
      </c>
      <c r="J209" t="s">
        <v>28</v>
      </c>
      <c r="K209" s="2">
        <v>1406.9</v>
      </c>
      <c r="L209" s="2">
        <v>1547.35</v>
      </c>
      <c r="M209" t="s">
        <v>29</v>
      </c>
      <c r="N209">
        <v>0.17</v>
      </c>
      <c r="O209" s="2">
        <f>(Sales[[#This Row],[Unit_Price]]-Sales[[#This Row],[Discount]]*Sales[[#This Row],[Unit_Price]])</f>
        <v>1284.3004999999998</v>
      </c>
      <c r="P209" t="s">
        <v>17</v>
      </c>
      <c r="Q209" t="s">
        <v>21</v>
      </c>
      <c r="R209" t="s">
        <v>44</v>
      </c>
    </row>
    <row r="210" spans="1:18" x14ac:dyDescent="0.35">
      <c r="A210">
        <v>1059</v>
      </c>
      <c r="B210" s="1">
        <v>45067</v>
      </c>
      <c r="C210" s="1" t="str">
        <f>TEXT(Sales[[#This Row],[Sale_Date]],"YYYY")</f>
        <v>2023</v>
      </c>
      <c r="D210" s="1" t="str">
        <f>TEXT(Sales[[#This Row],[Sale_Date]],"MMMM")</f>
        <v>May</v>
      </c>
      <c r="E210" s="1" t="str">
        <f>TEXT(Sales[[#This Row],[Sale_Date]],"DDDD")</f>
        <v>Sunday</v>
      </c>
      <c r="F210" t="s">
        <v>41</v>
      </c>
      <c r="G210" t="s">
        <v>14</v>
      </c>
      <c r="H210" s="2">
        <v>5108.9799999999996</v>
      </c>
      <c r="I210">
        <v>37</v>
      </c>
      <c r="J210" t="s">
        <v>34</v>
      </c>
      <c r="K210" s="2">
        <v>4146.99</v>
      </c>
      <c r="L210" s="2">
        <v>4172.3499999999904</v>
      </c>
      <c r="M210" t="s">
        <v>16</v>
      </c>
      <c r="N210">
        <v>0.06</v>
      </c>
      <c r="O210" s="2">
        <f>(Sales[[#This Row],[Unit_Price]]-Sales[[#This Row],[Discount]]*Sales[[#This Row],[Unit_Price]])</f>
        <v>3922.0089999999909</v>
      </c>
      <c r="P210" t="s">
        <v>17</v>
      </c>
      <c r="Q210" t="s">
        <v>21</v>
      </c>
      <c r="R210" t="s">
        <v>48</v>
      </c>
    </row>
    <row r="211" spans="1:18" x14ac:dyDescent="0.35">
      <c r="A211">
        <v>1032</v>
      </c>
      <c r="B211" s="1">
        <v>45030</v>
      </c>
      <c r="C211" s="1" t="str">
        <f>TEXT(Sales[[#This Row],[Sale_Date]],"YYYY")</f>
        <v>2023</v>
      </c>
      <c r="D211" s="1" t="str">
        <f>TEXT(Sales[[#This Row],[Sale_Date]],"MMMM")</f>
        <v>April</v>
      </c>
      <c r="E211" s="1" t="str">
        <f>TEXT(Sales[[#This Row],[Sale_Date]],"DDDD")</f>
        <v>Friday</v>
      </c>
      <c r="F211" t="s">
        <v>23</v>
      </c>
      <c r="G211" t="s">
        <v>14</v>
      </c>
      <c r="H211" s="2">
        <v>2286.44</v>
      </c>
      <c r="I211">
        <v>45</v>
      </c>
      <c r="J211" t="s">
        <v>28</v>
      </c>
      <c r="K211" s="2">
        <v>3712.35</v>
      </c>
      <c r="L211" s="2">
        <v>3780.88</v>
      </c>
      <c r="M211" t="s">
        <v>29</v>
      </c>
      <c r="N211">
        <v>7.0000000000000007E-2</v>
      </c>
      <c r="O211" s="2">
        <f>(Sales[[#This Row],[Unit_Price]]-Sales[[#This Row],[Discount]]*Sales[[#This Row],[Unit_Price]])</f>
        <v>3516.2184000000002</v>
      </c>
      <c r="P211" t="s">
        <v>17</v>
      </c>
      <c r="Q211" t="s">
        <v>21</v>
      </c>
      <c r="R211" t="s">
        <v>44</v>
      </c>
    </row>
    <row r="212" spans="1:18" x14ac:dyDescent="0.35">
      <c r="A212">
        <v>1096</v>
      </c>
      <c r="B212" s="1">
        <v>45136</v>
      </c>
      <c r="C212" s="1" t="str">
        <f>TEXT(Sales[[#This Row],[Sale_Date]],"YYYY")</f>
        <v>2023</v>
      </c>
      <c r="D212" s="1" t="str">
        <f>TEXT(Sales[[#This Row],[Sale_Date]],"MMMM")</f>
        <v>July</v>
      </c>
      <c r="E212" s="1" t="str">
        <f>TEXT(Sales[[#This Row],[Sale_Date]],"DDDD")</f>
        <v>Saturday</v>
      </c>
      <c r="F212" t="s">
        <v>32</v>
      </c>
      <c r="G212" t="s">
        <v>20</v>
      </c>
      <c r="H212" s="2">
        <v>485.41</v>
      </c>
      <c r="I212">
        <v>38</v>
      </c>
      <c r="J212" t="s">
        <v>34</v>
      </c>
      <c r="K212" s="2">
        <v>3955.66</v>
      </c>
      <c r="L212" s="2">
        <v>4270.59</v>
      </c>
      <c r="M212" t="s">
        <v>16</v>
      </c>
      <c r="N212">
        <v>0.15</v>
      </c>
      <c r="O212" s="2">
        <f>(Sales[[#This Row],[Unit_Price]]-Sales[[#This Row],[Discount]]*Sales[[#This Row],[Unit_Price]])</f>
        <v>3630.0015000000003</v>
      </c>
      <c r="P212" t="s">
        <v>30</v>
      </c>
      <c r="Q212" t="s">
        <v>18</v>
      </c>
      <c r="R212" t="s">
        <v>36</v>
      </c>
    </row>
    <row r="213" spans="1:18" x14ac:dyDescent="0.35">
      <c r="A213">
        <v>1088</v>
      </c>
      <c r="B213" s="1">
        <v>45037</v>
      </c>
      <c r="C213" s="1" t="str">
        <f>TEXT(Sales[[#This Row],[Sale_Date]],"YYYY")</f>
        <v>2023</v>
      </c>
      <c r="D213" s="1" t="str">
        <f>TEXT(Sales[[#This Row],[Sale_Date]],"MMMM")</f>
        <v>April</v>
      </c>
      <c r="E213" s="1" t="str">
        <f>TEXT(Sales[[#This Row],[Sale_Date]],"DDDD")</f>
        <v>Friday</v>
      </c>
      <c r="F213" t="s">
        <v>32</v>
      </c>
      <c r="G213" t="s">
        <v>33</v>
      </c>
      <c r="H213" s="2">
        <v>456.59</v>
      </c>
      <c r="I213">
        <v>29</v>
      </c>
      <c r="J213" t="s">
        <v>15</v>
      </c>
      <c r="K213" s="2">
        <v>639.58000000000004</v>
      </c>
      <c r="L213" s="2">
        <v>1107.45</v>
      </c>
      <c r="M213" t="s">
        <v>29</v>
      </c>
      <c r="N213">
        <v>0.28999999999999998</v>
      </c>
      <c r="O213" s="2">
        <f>(Sales[[#This Row],[Unit_Price]]-Sales[[#This Row],[Discount]]*Sales[[#This Row],[Unit_Price]])</f>
        <v>786.28950000000009</v>
      </c>
      <c r="P213" t="s">
        <v>17</v>
      </c>
      <c r="Q213" t="s">
        <v>21</v>
      </c>
      <c r="R213" t="s">
        <v>35</v>
      </c>
    </row>
    <row r="214" spans="1:18" x14ac:dyDescent="0.35">
      <c r="A214">
        <v>1052</v>
      </c>
      <c r="B214" s="1">
        <v>45030</v>
      </c>
      <c r="C214" s="1" t="str">
        <f>TEXT(Sales[[#This Row],[Sale_Date]],"YYYY")</f>
        <v>2023</v>
      </c>
      <c r="D214" s="1" t="str">
        <f>TEXT(Sales[[#This Row],[Sale_Date]],"MMMM")</f>
        <v>April</v>
      </c>
      <c r="E214" s="1" t="str">
        <f>TEXT(Sales[[#This Row],[Sale_Date]],"DDDD")</f>
        <v>Friday</v>
      </c>
      <c r="F214" t="s">
        <v>23</v>
      </c>
      <c r="G214" t="s">
        <v>14</v>
      </c>
      <c r="H214" s="2">
        <v>1834.7</v>
      </c>
      <c r="I214">
        <v>5</v>
      </c>
      <c r="J214" t="s">
        <v>15</v>
      </c>
      <c r="K214" s="2">
        <v>745.71</v>
      </c>
      <c r="L214" s="2">
        <v>856.91</v>
      </c>
      <c r="M214" t="s">
        <v>16</v>
      </c>
      <c r="N214">
        <v>0.23</v>
      </c>
      <c r="O214" s="2">
        <f>(Sales[[#This Row],[Unit_Price]]-Sales[[#This Row],[Discount]]*Sales[[#This Row],[Unit_Price]])</f>
        <v>659.82069999999999</v>
      </c>
      <c r="P214" t="s">
        <v>26</v>
      </c>
      <c r="Q214" t="s">
        <v>21</v>
      </c>
      <c r="R214" t="s">
        <v>44</v>
      </c>
    </row>
    <row r="215" spans="1:18" x14ac:dyDescent="0.35">
      <c r="A215">
        <v>1062</v>
      </c>
      <c r="B215" s="1">
        <v>45242</v>
      </c>
      <c r="C215" s="1" t="str">
        <f>TEXT(Sales[[#This Row],[Sale_Date]],"YYYY")</f>
        <v>2023</v>
      </c>
      <c r="D215" s="1" t="str">
        <f>TEXT(Sales[[#This Row],[Sale_Date]],"MMMM")</f>
        <v>November</v>
      </c>
      <c r="E215" s="1" t="str">
        <f>TEXT(Sales[[#This Row],[Sale_Date]],"DDDD")</f>
        <v>Sunday</v>
      </c>
      <c r="F215" t="s">
        <v>37</v>
      </c>
      <c r="G215" t="s">
        <v>24</v>
      </c>
      <c r="H215" s="2">
        <v>8681.0300000000007</v>
      </c>
      <c r="I215">
        <v>9</v>
      </c>
      <c r="J215" t="s">
        <v>34</v>
      </c>
      <c r="K215" s="2">
        <v>1468.05</v>
      </c>
      <c r="L215" s="2">
        <v>1838.21</v>
      </c>
      <c r="M215" t="s">
        <v>29</v>
      </c>
      <c r="N215">
        <v>0.15</v>
      </c>
      <c r="O215" s="2">
        <f>(Sales[[#This Row],[Unit_Price]]-Sales[[#This Row],[Discount]]*Sales[[#This Row],[Unit_Price]])</f>
        <v>1562.4785000000002</v>
      </c>
      <c r="P215" t="s">
        <v>26</v>
      </c>
      <c r="Q215" t="s">
        <v>21</v>
      </c>
      <c r="R215" t="s">
        <v>38</v>
      </c>
    </row>
    <row r="216" spans="1:18" x14ac:dyDescent="0.35">
      <c r="A216">
        <v>1058</v>
      </c>
      <c r="B216" s="1">
        <v>45097</v>
      </c>
      <c r="C216" s="1" t="str">
        <f>TEXT(Sales[[#This Row],[Sale_Date]],"YYYY")</f>
        <v>2023</v>
      </c>
      <c r="D216" s="1" t="str">
        <f>TEXT(Sales[[#This Row],[Sale_Date]],"MMMM")</f>
        <v>June</v>
      </c>
      <c r="E216" s="1" t="str">
        <f>TEXT(Sales[[#This Row],[Sale_Date]],"DDDD")</f>
        <v>Tuesday</v>
      </c>
      <c r="F216" t="s">
        <v>37</v>
      </c>
      <c r="G216" t="s">
        <v>20</v>
      </c>
      <c r="H216" s="2">
        <v>2896.54</v>
      </c>
      <c r="I216">
        <v>48</v>
      </c>
      <c r="J216" t="s">
        <v>28</v>
      </c>
      <c r="K216" s="2">
        <v>2614.48</v>
      </c>
      <c r="L216" s="2">
        <v>3049.04</v>
      </c>
      <c r="M216" t="s">
        <v>29</v>
      </c>
      <c r="N216">
        <v>0.1</v>
      </c>
      <c r="O216" s="2">
        <f>(Sales[[#This Row],[Unit_Price]]-Sales[[#This Row],[Discount]]*Sales[[#This Row],[Unit_Price]])</f>
        <v>2744.136</v>
      </c>
      <c r="P216" t="s">
        <v>30</v>
      </c>
      <c r="Q216" t="s">
        <v>21</v>
      </c>
      <c r="R216" t="s">
        <v>40</v>
      </c>
    </row>
    <row r="217" spans="1:18" x14ac:dyDescent="0.35">
      <c r="A217">
        <v>1052</v>
      </c>
      <c r="B217" s="1">
        <v>45282</v>
      </c>
      <c r="C217" s="1" t="str">
        <f>TEXT(Sales[[#This Row],[Sale_Date]],"YYYY")</f>
        <v>2023</v>
      </c>
      <c r="D217" s="1" t="str">
        <f>TEXT(Sales[[#This Row],[Sale_Date]],"MMMM")</f>
        <v>December</v>
      </c>
      <c r="E217" s="1" t="str">
        <f>TEXT(Sales[[#This Row],[Sale_Date]],"DDDD")</f>
        <v>Friday</v>
      </c>
      <c r="F217" t="s">
        <v>32</v>
      </c>
      <c r="G217" t="s">
        <v>20</v>
      </c>
      <c r="H217" s="2">
        <v>9509.5499999999993</v>
      </c>
      <c r="I217">
        <v>2</v>
      </c>
      <c r="J217" t="s">
        <v>15</v>
      </c>
      <c r="K217" s="2">
        <v>3752.68</v>
      </c>
      <c r="L217" s="2">
        <v>4017.91</v>
      </c>
      <c r="M217" t="s">
        <v>16</v>
      </c>
      <c r="N217">
        <v>0.16</v>
      </c>
      <c r="O217" s="2">
        <f>(Sales[[#This Row],[Unit_Price]]-Sales[[#This Row],[Discount]]*Sales[[#This Row],[Unit_Price]])</f>
        <v>3375.0443999999998</v>
      </c>
      <c r="P217" t="s">
        <v>26</v>
      </c>
      <c r="Q217" t="s">
        <v>18</v>
      </c>
      <c r="R217" t="s">
        <v>36</v>
      </c>
    </row>
    <row r="218" spans="1:18" x14ac:dyDescent="0.35">
      <c r="A218">
        <v>1012</v>
      </c>
      <c r="B218" s="1">
        <v>45250</v>
      </c>
      <c r="C218" s="1" t="str">
        <f>TEXT(Sales[[#This Row],[Sale_Date]],"YYYY")</f>
        <v>2023</v>
      </c>
      <c r="D218" s="1" t="str">
        <f>TEXT(Sales[[#This Row],[Sale_Date]],"MMMM")</f>
        <v>November</v>
      </c>
      <c r="E218" s="1" t="str">
        <f>TEXT(Sales[[#This Row],[Sale_Date]],"DDDD")</f>
        <v>Monday</v>
      </c>
      <c r="F218" t="s">
        <v>13</v>
      </c>
      <c r="G218" t="s">
        <v>14</v>
      </c>
      <c r="H218" s="2">
        <v>5858.06</v>
      </c>
      <c r="I218">
        <v>1</v>
      </c>
      <c r="J218" t="s">
        <v>25</v>
      </c>
      <c r="K218" s="2">
        <v>4190.83</v>
      </c>
      <c r="L218" s="2">
        <v>4528.7699999999904</v>
      </c>
      <c r="M218" t="s">
        <v>16</v>
      </c>
      <c r="N218">
        <v>0.22</v>
      </c>
      <c r="O218" s="2">
        <f>(Sales[[#This Row],[Unit_Price]]-Sales[[#This Row],[Discount]]*Sales[[#This Row],[Unit_Price]])</f>
        <v>3532.4405999999926</v>
      </c>
      <c r="P218" t="s">
        <v>26</v>
      </c>
      <c r="Q218" t="s">
        <v>18</v>
      </c>
      <c r="R218" t="s">
        <v>19</v>
      </c>
    </row>
    <row r="219" spans="1:18" x14ac:dyDescent="0.35">
      <c r="A219">
        <v>1039</v>
      </c>
      <c r="B219" s="1">
        <v>45059</v>
      </c>
      <c r="C219" s="1" t="str">
        <f>TEXT(Sales[[#This Row],[Sale_Date]],"YYYY")</f>
        <v>2023</v>
      </c>
      <c r="D219" s="1" t="str">
        <f>TEXT(Sales[[#This Row],[Sale_Date]],"MMMM")</f>
        <v>May</v>
      </c>
      <c r="E219" s="1" t="str">
        <f>TEXT(Sales[[#This Row],[Sale_Date]],"DDDD")</f>
        <v>Saturday</v>
      </c>
      <c r="F219" t="s">
        <v>37</v>
      </c>
      <c r="G219" t="s">
        <v>20</v>
      </c>
      <c r="H219" s="2">
        <v>4422.4799999999996</v>
      </c>
      <c r="I219">
        <v>40</v>
      </c>
      <c r="J219" t="s">
        <v>15</v>
      </c>
      <c r="K219" s="2">
        <v>3536.46</v>
      </c>
      <c r="L219" s="2">
        <v>3945.82</v>
      </c>
      <c r="M219" t="s">
        <v>29</v>
      </c>
      <c r="N219">
        <v>0.24</v>
      </c>
      <c r="O219" s="2">
        <f>(Sales[[#This Row],[Unit_Price]]-Sales[[#This Row],[Discount]]*Sales[[#This Row],[Unit_Price]])</f>
        <v>2998.8232000000003</v>
      </c>
      <c r="P219" t="s">
        <v>26</v>
      </c>
      <c r="Q219" t="s">
        <v>18</v>
      </c>
      <c r="R219" t="s">
        <v>40</v>
      </c>
    </row>
    <row r="220" spans="1:18" x14ac:dyDescent="0.35">
      <c r="A220">
        <v>1002</v>
      </c>
      <c r="B220" s="1">
        <v>45219</v>
      </c>
      <c r="C220" s="1" t="str">
        <f>TEXT(Sales[[#This Row],[Sale_Date]],"YYYY")</f>
        <v>2023</v>
      </c>
      <c r="D220" s="1" t="str">
        <f>TEXT(Sales[[#This Row],[Sale_Date]],"MMMM")</f>
        <v>October</v>
      </c>
      <c r="E220" s="1" t="str">
        <f>TEXT(Sales[[#This Row],[Sale_Date]],"DDDD")</f>
        <v>Friday</v>
      </c>
      <c r="F220" t="s">
        <v>23</v>
      </c>
      <c r="G220" t="s">
        <v>14</v>
      </c>
      <c r="H220" s="2">
        <v>5842.88</v>
      </c>
      <c r="I220">
        <v>30</v>
      </c>
      <c r="J220" t="s">
        <v>28</v>
      </c>
      <c r="K220" s="2">
        <v>4646.55</v>
      </c>
      <c r="L220" s="2">
        <v>4784.28</v>
      </c>
      <c r="M220" t="s">
        <v>16</v>
      </c>
      <c r="N220">
        <v>0.1</v>
      </c>
      <c r="O220" s="2">
        <f>(Sales[[#This Row],[Unit_Price]]-Sales[[#This Row],[Discount]]*Sales[[#This Row],[Unit_Price]])</f>
        <v>4305.8519999999999</v>
      </c>
      <c r="P220" t="s">
        <v>30</v>
      </c>
      <c r="Q220" t="s">
        <v>21</v>
      </c>
      <c r="R220" t="s">
        <v>44</v>
      </c>
    </row>
    <row r="221" spans="1:18" x14ac:dyDescent="0.35">
      <c r="A221">
        <v>1003</v>
      </c>
      <c r="B221" s="1">
        <v>45254</v>
      </c>
      <c r="C221" s="1" t="str">
        <f>TEXT(Sales[[#This Row],[Sale_Date]],"YYYY")</f>
        <v>2023</v>
      </c>
      <c r="D221" s="1" t="str">
        <f>TEXT(Sales[[#This Row],[Sale_Date]],"MMMM")</f>
        <v>November</v>
      </c>
      <c r="E221" s="1" t="str">
        <f>TEXT(Sales[[#This Row],[Sale_Date]],"DDDD")</f>
        <v>Friday</v>
      </c>
      <c r="F221" t="s">
        <v>37</v>
      </c>
      <c r="G221" t="s">
        <v>33</v>
      </c>
      <c r="H221" s="2">
        <v>5215.3100000000004</v>
      </c>
      <c r="I221">
        <v>11</v>
      </c>
      <c r="J221" t="s">
        <v>25</v>
      </c>
      <c r="K221" s="2">
        <v>3706.78</v>
      </c>
      <c r="L221" s="2">
        <v>3862.26</v>
      </c>
      <c r="M221" t="s">
        <v>29</v>
      </c>
      <c r="N221">
        <v>0.22</v>
      </c>
      <c r="O221" s="2">
        <f>(Sales[[#This Row],[Unit_Price]]-Sales[[#This Row],[Discount]]*Sales[[#This Row],[Unit_Price]])</f>
        <v>3012.5628000000002</v>
      </c>
      <c r="P221" t="s">
        <v>30</v>
      </c>
      <c r="Q221" t="s">
        <v>21</v>
      </c>
      <c r="R221" t="s">
        <v>47</v>
      </c>
    </row>
    <row r="222" spans="1:18" x14ac:dyDescent="0.35">
      <c r="A222">
        <v>1056</v>
      </c>
      <c r="B222" s="1">
        <v>45053</v>
      </c>
      <c r="C222" s="1" t="str">
        <f>TEXT(Sales[[#This Row],[Sale_Date]],"YYYY")</f>
        <v>2023</v>
      </c>
      <c r="D222" s="1" t="str">
        <f>TEXT(Sales[[#This Row],[Sale_Date]],"MMMM")</f>
        <v>May</v>
      </c>
      <c r="E222" s="1" t="str">
        <f>TEXT(Sales[[#This Row],[Sale_Date]],"DDDD")</f>
        <v>Sunday</v>
      </c>
      <c r="F222" t="s">
        <v>23</v>
      </c>
      <c r="G222" t="s">
        <v>33</v>
      </c>
      <c r="H222" s="2">
        <v>7611.88</v>
      </c>
      <c r="I222">
        <v>28</v>
      </c>
      <c r="J222" t="s">
        <v>28</v>
      </c>
      <c r="K222" s="2">
        <v>1566.03</v>
      </c>
      <c r="L222" s="2">
        <v>1576.34</v>
      </c>
      <c r="M222" t="s">
        <v>16</v>
      </c>
      <c r="N222">
        <v>0.2</v>
      </c>
      <c r="O222" s="2">
        <f>(Sales[[#This Row],[Unit_Price]]-Sales[[#This Row],[Discount]]*Sales[[#This Row],[Unit_Price]])</f>
        <v>1261.0719999999999</v>
      </c>
      <c r="P222" t="s">
        <v>26</v>
      </c>
      <c r="Q222" t="s">
        <v>18</v>
      </c>
      <c r="R222" t="s">
        <v>49</v>
      </c>
    </row>
    <row r="223" spans="1:18" x14ac:dyDescent="0.35">
      <c r="A223">
        <v>1081</v>
      </c>
      <c r="B223" s="1">
        <v>45032</v>
      </c>
      <c r="C223" s="1" t="str">
        <f>TEXT(Sales[[#This Row],[Sale_Date]],"YYYY")</f>
        <v>2023</v>
      </c>
      <c r="D223" s="1" t="str">
        <f>TEXT(Sales[[#This Row],[Sale_Date]],"MMMM")</f>
        <v>April</v>
      </c>
      <c r="E223" s="1" t="str">
        <f>TEXT(Sales[[#This Row],[Sale_Date]],"DDDD")</f>
        <v>Sunday</v>
      </c>
      <c r="F223" t="s">
        <v>32</v>
      </c>
      <c r="G223" t="s">
        <v>20</v>
      </c>
      <c r="H223" s="2">
        <v>2896.71</v>
      </c>
      <c r="I223">
        <v>44</v>
      </c>
      <c r="J223" t="s">
        <v>34</v>
      </c>
      <c r="K223" s="2">
        <v>1362.15</v>
      </c>
      <c r="L223" s="2">
        <v>1844.07</v>
      </c>
      <c r="M223" t="s">
        <v>29</v>
      </c>
      <c r="N223">
        <v>0.28999999999999998</v>
      </c>
      <c r="O223" s="2">
        <f>(Sales[[#This Row],[Unit_Price]]-Sales[[#This Row],[Discount]]*Sales[[#This Row],[Unit_Price]])</f>
        <v>1309.2897</v>
      </c>
      <c r="P223" t="s">
        <v>30</v>
      </c>
      <c r="Q223" t="s">
        <v>18</v>
      </c>
      <c r="R223" t="s">
        <v>36</v>
      </c>
    </row>
    <row r="224" spans="1:18" x14ac:dyDescent="0.35">
      <c r="A224">
        <v>1059</v>
      </c>
      <c r="B224" s="1">
        <v>45018</v>
      </c>
      <c r="C224" s="1" t="str">
        <f>TEXT(Sales[[#This Row],[Sale_Date]],"YYYY")</f>
        <v>2023</v>
      </c>
      <c r="D224" s="1" t="str">
        <f>TEXT(Sales[[#This Row],[Sale_Date]],"MMMM")</f>
        <v>April</v>
      </c>
      <c r="E224" s="1" t="str">
        <f>TEXT(Sales[[#This Row],[Sale_Date]],"DDDD")</f>
        <v>Sunday</v>
      </c>
      <c r="F224" t="s">
        <v>37</v>
      </c>
      <c r="G224" t="s">
        <v>20</v>
      </c>
      <c r="H224" s="2">
        <v>3595.2</v>
      </c>
      <c r="I224">
        <v>12</v>
      </c>
      <c r="J224" t="s">
        <v>25</v>
      </c>
      <c r="K224" s="2">
        <v>3496.15</v>
      </c>
      <c r="L224" s="2">
        <v>3955.75</v>
      </c>
      <c r="M224" t="s">
        <v>16</v>
      </c>
      <c r="N224">
        <v>0.28000000000000003</v>
      </c>
      <c r="O224" s="2">
        <f>(Sales[[#This Row],[Unit_Price]]-Sales[[#This Row],[Discount]]*Sales[[#This Row],[Unit_Price]])</f>
        <v>2848.14</v>
      </c>
      <c r="P224" t="s">
        <v>17</v>
      </c>
      <c r="Q224" t="s">
        <v>21</v>
      </c>
      <c r="R224" t="s">
        <v>40</v>
      </c>
    </row>
    <row r="225" spans="1:18" x14ac:dyDescent="0.35">
      <c r="A225">
        <v>1002</v>
      </c>
      <c r="B225" s="1">
        <v>45213</v>
      </c>
      <c r="C225" s="1" t="str">
        <f>TEXT(Sales[[#This Row],[Sale_Date]],"YYYY")</f>
        <v>2023</v>
      </c>
      <c r="D225" s="1" t="str">
        <f>TEXT(Sales[[#This Row],[Sale_Date]],"MMMM")</f>
        <v>October</v>
      </c>
      <c r="E225" s="1" t="str">
        <f>TEXT(Sales[[#This Row],[Sale_Date]],"DDDD")</f>
        <v>Saturday</v>
      </c>
      <c r="F225" t="s">
        <v>23</v>
      </c>
      <c r="G225" t="s">
        <v>24</v>
      </c>
      <c r="H225" s="2">
        <v>8951.5300000000007</v>
      </c>
      <c r="I225">
        <v>39</v>
      </c>
      <c r="J225" t="s">
        <v>28</v>
      </c>
      <c r="K225" s="2">
        <v>1004.71</v>
      </c>
      <c r="L225" s="2">
        <v>1389.35</v>
      </c>
      <c r="M225" t="s">
        <v>29</v>
      </c>
      <c r="N225">
        <v>0.24</v>
      </c>
      <c r="O225" s="2">
        <f>(Sales[[#This Row],[Unit_Price]]-Sales[[#This Row],[Discount]]*Sales[[#This Row],[Unit_Price]])</f>
        <v>1055.9059999999999</v>
      </c>
      <c r="P225" t="s">
        <v>26</v>
      </c>
      <c r="Q225" t="s">
        <v>18</v>
      </c>
      <c r="R225" t="s">
        <v>27</v>
      </c>
    </row>
    <row r="226" spans="1:18" x14ac:dyDescent="0.35">
      <c r="A226">
        <v>1002</v>
      </c>
      <c r="B226" s="1">
        <v>44977</v>
      </c>
      <c r="C226" s="1" t="str">
        <f>TEXT(Sales[[#This Row],[Sale_Date]],"YYYY")</f>
        <v>2023</v>
      </c>
      <c r="D226" s="1" t="str">
        <f>TEXT(Sales[[#This Row],[Sale_Date]],"MMMM")</f>
        <v>February</v>
      </c>
      <c r="E226" s="1" t="str">
        <f>TEXT(Sales[[#This Row],[Sale_Date]],"DDDD")</f>
        <v>Monday</v>
      </c>
      <c r="F226" t="s">
        <v>32</v>
      </c>
      <c r="G226" t="s">
        <v>20</v>
      </c>
      <c r="H226" s="2">
        <v>9469.92</v>
      </c>
      <c r="I226">
        <v>26</v>
      </c>
      <c r="J226" t="s">
        <v>25</v>
      </c>
      <c r="K226" s="2">
        <v>508.94</v>
      </c>
      <c r="L226" s="2">
        <v>557.69000000000005</v>
      </c>
      <c r="M226" t="s">
        <v>29</v>
      </c>
      <c r="N226">
        <v>0.22</v>
      </c>
      <c r="O226" s="2">
        <f>(Sales[[#This Row],[Unit_Price]]-Sales[[#This Row],[Discount]]*Sales[[#This Row],[Unit_Price]])</f>
        <v>434.99820000000005</v>
      </c>
      <c r="P226" t="s">
        <v>30</v>
      </c>
      <c r="Q226" t="s">
        <v>21</v>
      </c>
      <c r="R226" t="s">
        <v>36</v>
      </c>
    </row>
    <row r="227" spans="1:18" x14ac:dyDescent="0.35">
      <c r="A227">
        <v>1092</v>
      </c>
      <c r="B227" s="1">
        <v>44955</v>
      </c>
      <c r="C227" s="1" t="str">
        <f>TEXT(Sales[[#This Row],[Sale_Date]],"YYYY")</f>
        <v>2023</v>
      </c>
      <c r="D227" s="1" t="str">
        <f>TEXT(Sales[[#This Row],[Sale_Date]],"MMMM")</f>
        <v>January</v>
      </c>
      <c r="E227" s="1" t="str">
        <f>TEXT(Sales[[#This Row],[Sale_Date]],"DDDD")</f>
        <v>Sunday</v>
      </c>
      <c r="F227" t="s">
        <v>13</v>
      </c>
      <c r="G227" t="s">
        <v>24</v>
      </c>
      <c r="H227" s="2">
        <v>8936.33</v>
      </c>
      <c r="I227">
        <v>13</v>
      </c>
      <c r="J227" t="s">
        <v>28</v>
      </c>
      <c r="K227" s="2">
        <v>2684.5</v>
      </c>
      <c r="L227" s="2">
        <v>2913.78</v>
      </c>
      <c r="M227" t="s">
        <v>29</v>
      </c>
      <c r="N227">
        <v>0.08</v>
      </c>
      <c r="O227" s="2">
        <f>(Sales[[#This Row],[Unit_Price]]-Sales[[#This Row],[Discount]]*Sales[[#This Row],[Unit_Price]])</f>
        <v>2680.6776</v>
      </c>
      <c r="P227" t="s">
        <v>30</v>
      </c>
      <c r="Q227" t="s">
        <v>21</v>
      </c>
      <c r="R227" t="s">
        <v>31</v>
      </c>
    </row>
    <row r="228" spans="1:18" x14ac:dyDescent="0.35">
      <c r="A228">
        <v>1054</v>
      </c>
      <c r="B228" s="1">
        <v>45222</v>
      </c>
      <c r="C228" s="1" t="str">
        <f>TEXT(Sales[[#This Row],[Sale_Date]],"YYYY")</f>
        <v>2023</v>
      </c>
      <c r="D228" s="1" t="str">
        <f>TEXT(Sales[[#This Row],[Sale_Date]],"MMMM")</f>
        <v>October</v>
      </c>
      <c r="E228" s="1" t="str">
        <f>TEXT(Sales[[#This Row],[Sale_Date]],"DDDD")</f>
        <v>Monday</v>
      </c>
      <c r="F228" t="s">
        <v>23</v>
      </c>
      <c r="G228" t="s">
        <v>33</v>
      </c>
      <c r="H228" s="2">
        <v>4252.54</v>
      </c>
      <c r="I228">
        <v>8</v>
      </c>
      <c r="J228" t="s">
        <v>25</v>
      </c>
      <c r="K228" s="2">
        <v>4117.13</v>
      </c>
      <c r="L228" s="2">
        <v>4177.0600000000004</v>
      </c>
      <c r="M228" t="s">
        <v>16</v>
      </c>
      <c r="N228">
        <v>0.25</v>
      </c>
      <c r="O228" s="2">
        <f>(Sales[[#This Row],[Unit_Price]]-Sales[[#This Row],[Discount]]*Sales[[#This Row],[Unit_Price]])</f>
        <v>3132.7950000000001</v>
      </c>
      <c r="P228" t="s">
        <v>26</v>
      </c>
      <c r="Q228" t="s">
        <v>21</v>
      </c>
      <c r="R228" t="s">
        <v>49</v>
      </c>
    </row>
    <row r="229" spans="1:18" x14ac:dyDescent="0.35">
      <c r="A229">
        <v>1087</v>
      </c>
      <c r="B229" s="1">
        <v>45223</v>
      </c>
      <c r="C229" s="1" t="str">
        <f>TEXT(Sales[[#This Row],[Sale_Date]],"YYYY")</f>
        <v>2023</v>
      </c>
      <c r="D229" s="1" t="str">
        <f>TEXT(Sales[[#This Row],[Sale_Date]],"MMMM")</f>
        <v>October</v>
      </c>
      <c r="E229" s="1" t="str">
        <f>TEXT(Sales[[#This Row],[Sale_Date]],"DDDD")</f>
        <v>Tuesday</v>
      </c>
      <c r="F229" t="s">
        <v>13</v>
      </c>
      <c r="G229" t="s">
        <v>33</v>
      </c>
      <c r="H229" s="2">
        <v>7825.62</v>
      </c>
      <c r="I229">
        <v>28</v>
      </c>
      <c r="J229" t="s">
        <v>28</v>
      </c>
      <c r="K229" s="2">
        <v>551.83000000000004</v>
      </c>
      <c r="L229" s="2">
        <v>569.63</v>
      </c>
      <c r="M229" t="s">
        <v>29</v>
      </c>
      <c r="N229">
        <v>0.13</v>
      </c>
      <c r="O229" s="2">
        <f>(Sales[[#This Row],[Unit_Price]]-Sales[[#This Row],[Discount]]*Sales[[#This Row],[Unit_Price]])</f>
        <v>495.57810000000001</v>
      </c>
      <c r="P229" t="s">
        <v>30</v>
      </c>
      <c r="Q229" t="s">
        <v>21</v>
      </c>
      <c r="R229" t="s">
        <v>45</v>
      </c>
    </row>
    <row r="230" spans="1:18" x14ac:dyDescent="0.35">
      <c r="A230">
        <v>1096</v>
      </c>
      <c r="B230" s="1">
        <v>45140</v>
      </c>
      <c r="C230" s="1" t="str">
        <f>TEXT(Sales[[#This Row],[Sale_Date]],"YYYY")</f>
        <v>2023</v>
      </c>
      <c r="D230" s="1" t="str">
        <f>TEXT(Sales[[#This Row],[Sale_Date]],"MMMM")</f>
        <v>August</v>
      </c>
      <c r="E230" s="1" t="str">
        <f>TEXT(Sales[[#This Row],[Sale_Date]],"DDDD")</f>
        <v>Wednesday</v>
      </c>
      <c r="F230" t="s">
        <v>13</v>
      </c>
      <c r="G230" t="s">
        <v>14</v>
      </c>
      <c r="H230" s="2">
        <v>4815.72</v>
      </c>
      <c r="I230">
        <v>30</v>
      </c>
      <c r="J230" t="s">
        <v>34</v>
      </c>
      <c r="K230" s="2">
        <v>3969.86</v>
      </c>
      <c r="L230" s="2">
        <v>4281.79</v>
      </c>
      <c r="M230" t="s">
        <v>16</v>
      </c>
      <c r="N230">
        <v>0.08</v>
      </c>
      <c r="O230" s="2">
        <f>(Sales[[#This Row],[Unit_Price]]-Sales[[#This Row],[Discount]]*Sales[[#This Row],[Unit_Price]])</f>
        <v>3939.2467999999999</v>
      </c>
      <c r="P230" t="s">
        <v>26</v>
      </c>
      <c r="Q230" t="s">
        <v>21</v>
      </c>
      <c r="R230" t="s">
        <v>19</v>
      </c>
    </row>
    <row r="231" spans="1:18" x14ac:dyDescent="0.35">
      <c r="A231">
        <v>1097</v>
      </c>
      <c r="B231" s="1">
        <v>45193</v>
      </c>
      <c r="C231" s="1" t="str">
        <f>TEXT(Sales[[#This Row],[Sale_Date]],"YYYY")</f>
        <v>2023</v>
      </c>
      <c r="D231" s="1" t="str">
        <f>TEXT(Sales[[#This Row],[Sale_Date]],"MMMM")</f>
        <v>September</v>
      </c>
      <c r="E231" s="1" t="str">
        <f>TEXT(Sales[[#This Row],[Sale_Date]],"DDDD")</f>
        <v>Sunday</v>
      </c>
      <c r="F231" t="s">
        <v>41</v>
      </c>
      <c r="G231" t="s">
        <v>33</v>
      </c>
      <c r="H231" s="2">
        <v>5025.6400000000003</v>
      </c>
      <c r="I231">
        <v>9</v>
      </c>
      <c r="J231" t="s">
        <v>25</v>
      </c>
      <c r="K231" s="2">
        <v>4067.28</v>
      </c>
      <c r="L231" s="2">
        <v>4548.09</v>
      </c>
      <c r="M231" t="s">
        <v>16</v>
      </c>
      <c r="N231">
        <v>0.12</v>
      </c>
      <c r="O231" s="2">
        <f>(Sales[[#This Row],[Unit_Price]]-Sales[[#This Row],[Discount]]*Sales[[#This Row],[Unit_Price]])</f>
        <v>4002.3191999999999</v>
      </c>
      <c r="P231" t="s">
        <v>30</v>
      </c>
      <c r="Q231" t="s">
        <v>21</v>
      </c>
      <c r="R231" t="s">
        <v>51</v>
      </c>
    </row>
    <row r="232" spans="1:18" x14ac:dyDescent="0.35">
      <c r="A232">
        <v>1001</v>
      </c>
      <c r="B232" s="1">
        <v>45183</v>
      </c>
      <c r="C232" s="1" t="str">
        <f>TEXT(Sales[[#This Row],[Sale_Date]],"YYYY")</f>
        <v>2023</v>
      </c>
      <c r="D232" s="1" t="str">
        <f>TEXT(Sales[[#This Row],[Sale_Date]],"MMMM")</f>
        <v>September</v>
      </c>
      <c r="E232" s="1" t="str">
        <f>TEXT(Sales[[#This Row],[Sale_Date]],"DDDD")</f>
        <v>Thursday</v>
      </c>
      <c r="F232" t="s">
        <v>37</v>
      </c>
      <c r="G232" t="s">
        <v>24</v>
      </c>
      <c r="H232" s="2">
        <v>2126.33</v>
      </c>
      <c r="I232">
        <v>39</v>
      </c>
      <c r="J232" t="s">
        <v>25</v>
      </c>
      <c r="K232" s="2">
        <v>2437.2600000000002</v>
      </c>
      <c r="L232" s="2">
        <v>2889.67</v>
      </c>
      <c r="M232" t="s">
        <v>16</v>
      </c>
      <c r="N232">
        <v>0.25</v>
      </c>
      <c r="O232" s="2">
        <f>(Sales[[#This Row],[Unit_Price]]-Sales[[#This Row],[Discount]]*Sales[[#This Row],[Unit_Price]])</f>
        <v>2167.2525000000001</v>
      </c>
      <c r="P232" t="s">
        <v>17</v>
      </c>
      <c r="Q232" t="s">
        <v>18</v>
      </c>
      <c r="R232" t="s">
        <v>38</v>
      </c>
    </row>
    <row r="233" spans="1:18" x14ac:dyDescent="0.35">
      <c r="A233">
        <v>1019</v>
      </c>
      <c r="B233" s="1">
        <v>45228</v>
      </c>
      <c r="C233" s="1" t="str">
        <f>TEXT(Sales[[#This Row],[Sale_Date]],"YYYY")</f>
        <v>2023</v>
      </c>
      <c r="D233" s="1" t="str">
        <f>TEXT(Sales[[#This Row],[Sale_Date]],"MMMM")</f>
        <v>October</v>
      </c>
      <c r="E233" s="1" t="str">
        <f>TEXT(Sales[[#This Row],[Sale_Date]],"DDDD")</f>
        <v>Sunday</v>
      </c>
      <c r="F233" t="s">
        <v>23</v>
      </c>
      <c r="G233" t="s">
        <v>20</v>
      </c>
      <c r="H233" s="2">
        <v>5952.19</v>
      </c>
      <c r="I233">
        <v>31</v>
      </c>
      <c r="J233" t="s">
        <v>25</v>
      </c>
      <c r="K233" s="2">
        <v>333.69</v>
      </c>
      <c r="L233" s="2">
        <v>685.1</v>
      </c>
      <c r="M233" t="s">
        <v>29</v>
      </c>
      <c r="N233">
        <v>0.04</v>
      </c>
      <c r="O233" s="2">
        <f>(Sales[[#This Row],[Unit_Price]]-Sales[[#This Row],[Discount]]*Sales[[#This Row],[Unit_Price]])</f>
        <v>657.69600000000003</v>
      </c>
      <c r="P233" t="s">
        <v>26</v>
      </c>
      <c r="Q233" t="s">
        <v>18</v>
      </c>
      <c r="R233" t="s">
        <v>46</v>
      </c>
    </row>
    <row r="234" spans="1:18" x14ac:dyDescent="0.35">
      <c r="A234">
        <v>1002</v>
      </c>
      <c r="B234" s="1">
        <v>45027</v>
      </c>
      <c r="C234" s="1" t="str">
        <f>TEXT(Sales[[#This Row],[Sale_Date]],"YYYY")</f>
        <v>2023</v>
      </c>
      <c r="D234" s="1" t="str">
        <f>TEXT(Sales[[#This Row],[Sale_Date]],"MMMM")</f>
        <v>April</v>
      </c>
      <c r="E234" s="1" t="str">
        <f>TEXT(Sales[[#This Row],[Sale_Date]],"DDDD")</f>
        <v>Tuesday</v>
      </c>
      <c r="F234" t="s">
        <v>13</v>
      </c>
      <c r="G234" t="s">
        <v>14</v>
      </c>
      <c r="H234" s="2">
        <v>1942.75</v>
      </c>
      <c r="I234">
        <v>21</v>
      </c>
      <c r="J234" t="s">
        <v>25</v>
      </c>
      <c r="K234" s="2">
        <v>914.22</v>
      </c>
      <c r="L234" s="2">
        <v>971.57</v>
      </c>
      <c r="M234" t="s">
        <v>16</v>
      </c>
      <c r="N234">
        <v>0.14000000000000001</v>
      </c>
      <c r="O234" s="2">
        <f>(Sales[[#This Row],[Unit_Price]]-Sales[[#This Row],[Discount]]*Sales[[#This Row],[Unit_Price]])</f>
        <v>835.55020000000002</v>
      </c>
      <c r="P234" t="s">
        <v>17</v>
      </c>
      <c r="Q234" t="s">
        <v>18</v>
      </c>
      <c r="R234" t="s">
        <v>19</v>
      </c>
    </row>
    <row r="235" spans="1:18" x14ac:dyDescent="0.35">
      <c r="A235">
        <v>1053</v>
      </c>
      <c r="B235" s="1">
        <v>45272</v>
      </c>
      <c r="C235" s="1" t="str">
        <f>TEXT(Sales[[#This Row],[Sale_Date]],"YYYY")</f>
        <v>2023</v>
      </c>
      <c r="D235" s="1" t="str">
        <f>TEXT(Sales[[#This Row],[Sale_Date]],"MMMM")</f>
        <v>December</v>
      </c>
      <c r="E235" s="1" t="str">
        <f>TEXT(Sales[[#This Row],[Sale_Date]],"DDDD")</f>
        <v>Tuesday</v>
      </c>
      <c r="F235" t="s">
        <v>41</v>
      </c>
      <c r="G235" t="s">
        <v>24</v>
      </c>
      <c r="H235" s="2">
        <v>3382.49</v>
      </c>
      <c r="I235">
        <v>47</v>
      </c>
      <c r="J235" t="s">
        <v>34</v>
      </c>
      <c r="K235" s="2">
        <v>3551.76</v>
      </c>
      <c r="L235" s="2">
        <v>3696.1</v>
      </c>
      <c r="M235" t="s">
        <v>16</v>
      </c>
      <c r="N235">
        <v>0.15</v>
      </c>
      <c r="O235" s="2">
        <f>(Sales[[#This Row],[Unit_Price]]-Sales[[#This Row],[Discount]]*Sales[[#This Row],[Unit_Price]])</f>
        <v>3141.6849999999999</v>
      </c>
      <c r="P235" t="s">
        <v>26</v>
      </c>
      <c r="Q235" t="s">
        <v>21</v>
      </c>
      <c r="R235" t="s">
        <v>42</v>
      </c>
    </row>
    <row r="236" spans="1:18" x14ac:dyDescent="0.35">
      <c r="A236">
        <v>1044</v>
      </c>
      <c r="B236" s="1">
        <v>45036</v>
      </c>
      <c r="C236" s="1" t="str">
        <f>TEXT(Sales[[#This Row],[Sale_Date]],"YYYY")</f>
        <v>2023</v>
      </c>
      <c r="D236" s="1" t="str">
        <f>TEXT(Sales[[#This Row],[Sale_Date]],"MMMM")</f>
        <v>April</v>
      </c>
      <c r="E236" s="1" t="str">
        <f>TEXT(Sales[[#This Row],[Sale_Date]],"DDDD")</f>
        <v>Thursday</v>
      </c>
      <c r="F236" t="s">
        <v>32</v>
      </c>
      <c r="G236" t="s">
        <v>20</v>
      </c>
      <c r="H236" s="2">
        <v>8564.7999999999993</v>
      </c>
      <c r="I236">
        <v>34</v>
      </c>
      <c r="J236" t="s">
        <v>25</v>
      </c>
      <c r="K236" s="2">
        <v>3573.3</v>
      </c>
      <c r="L236" s="2">
        <v>3740.13</v>
      </c>
      <c r="M236" t="s">
        <v>16</v>
      </c>
      <c r="N236">
        <v>0.01</v>
      </c>
      <c r="O236" s="2">
        <f>(Sales[[#This Row],[Unit_Price]]-Sales[[#This Row],[Discount]]*Sales[[#This Row],[Unit_Price]])</f>
        <v>3702.7287000000001</v>
      </c>
      <c r="P236" t="s">
        <v>30</v>
      </c>
      <c r="Q236" t="s">
        <v>18</v>
      </c>
      <c r="R236" t="s">
        <v>36</v>
      </c>
    </row>
    <row r="237" spans="1:18" x14ac:dyDescent="0.35">
      <c r="A237">
        <v>1090</v>
      </c>
      <c r="B237" s="1">
        <v>45108</v>
      </c>
      <c r="C237" s="1" t="str">
        <f>TEXT(Sales[[#This Row],[Sale_Date]],"YYYY")</f>
        <v>2023</v>
      </c>
      <c r="D237" s="1" t="str">
        <f>TEXT(Sales[[#This Row],[Sale_Date]],"MMMM")</f>
        <v>July</v>
      </c>
      <c r="E237" s="1" t="str">
        <f>TEXT(Sales[[#This Row],[Sale_Date]],"DDDD")</f>
        <v>Saturday</v>
      </c>
      <c r="F237" t="s">
        <v>23</v>
      </c>
      <c r="G237" t="s">
        <v>14</v>
      </c>
      <c r="H237" s="2">
        <v>2150.0500000000002</v>
      </c>
      <c r="I237">
        <v>31</v>
      </c>
      <c r="J237" t="s">
        <v>15</v>
      </c>
      <c r="K237" s="2">
        <v>4496.8599999999997</v>
      </c>
      <c r="L237" s="2">
        <v>4880.7999999999902</v>
      </c>
      <c r="M237" t="s">
        <v>29</v>
      </c>
      <c r="N237">
        <v>0.06</v>
      </c>
      <c r="O237" s="2">
        <f>(Sales[[#This Row],[Unit_Price]]-Sales[[#This Row],[Discount]]*Sales[[#This Row],[Unit_Price]])</f>
        <v>4587.9519999999911</v>
      </c>
      <c r="P237" t="s">
        <v>17</v>
      </c>
      <c r="Q237" t="s">
        <v>21</v>
      </c>
      <c r="R237" t="s">
        <v>44</v>
      </c>
    </row>
    <row r="238" spans="1:18" x14ac:dyDescent="0.35">
      <c r="A238">
        <v>1032</v>
      </c>
      <c r="B238" s="1">
        <v>45239</v>
      </c>
      <c r="C238" s="1" t="str">
        <f>TEXT(Sales[[#This Row],[Sale_Date]],"YYYY")</f>
        <v>2023</v>
      </c>
      <c r="D238" s="1" t="str">
        <f>TEXT(Sales[[#This Row],[Sale_Date]],"MMMM")</f>
        <v>November</v>
      </c>
      <c r="E238" s="1" t="str">
        <f>TEXT(Sales[[#This Row],[Sale_Date]],"DDDD")</f>
        <v>Thursday</v>
      </c>
      <c r="F238" t="s">
        <v>13</v>
      </c>
      <c r="G238" t="s">
        <v>33</v>
      </c>
      <c r="H238" s="2">
        <v>804.47</v>
      </c>
      <c r="I238">
        <v>25</v>
      </c>
      <c r="J238" t="s">
        <v>34</v>
      </c>
      <c r="K238" s="2">
        <v>2934.3</v>
      </c>
      <c r="L238" s="2">
        <v>3337.4</v>
      </c>
      <c r="M238" t="s">
        <v>16</v>
      </c>
      <c r="N238">
        <v>0.25</v>
      </c>
      <c r="O238" s="2">
        <f>(Sales[[#This Row],[Unit_Price]]-Sales[[#This Row],[Discount]]*Sales[[#This Row],[Unit_Price]])</f>
        <v>2503.0500000000002</v>
      </c>
      <c r="P238" t="s">
        <v>30</v>
      </c>
      <c r="Q238" t="s">
        <v>21</v>
      </c>
      <c r="R238" t="s">
        <v>45</v>
      </c>
    </row>
    <row r="239" spans="1:18" x14ac:dyDescent="0.35">
      <c r="A239">
        <v>1070</v>
      </c>
      <c r="B239" s="1">
        <v>44927</v>
      </c>
      <c r="C239" s="1" t="str">
        <f>TEXT(Sales[[#This Row],[Sale_Date]],"YYYY")</f>
        <v>2023</v>
      </c>
      <c r="D239" s="1" t="str">
        <f>TEXT(Sales[[#This Row],[Sale_Date]],"MMMM")</f>
        <v>January</v>
      </c>
      <c r="E239" s="1" t="str">
        <f>TEXT(Sales[[#This Row],[Sale_Date]],"DDDD")</f>
        <v>Sunday</v>
      </c>
      <c r="F239" t="s">
        <v>37</v>
      </c>
      <c r="G239" t="s">
        <v>24</v>
      </c>
      <c r="H239" s="2">
        <v>783.18</v>
      </c>
      <c r="I239">
        <v>12</v>
      </c>
      <c r="J239" t="s">
        <v>15</v>
      </c>
      <c r="K239" s="2">
        <v>664.33</v>
      </c>
      <c r="L239" s="2">
        <v>863.03</v>
      </c>
      <c r="M239" t="s">
        <v>16</v>
      </c>
      <c r="N239">
        <v>0.25</v>
      </c>
      <c r="O239" s="2">
        <f>(Sales[[#This Row],[Unit_Price]]-Sales[[#This Row],[Discount]]*Sales[[#This Row],[Unit_Price]])</f>
        <v>647.27250000000004</v>
      </c>
      <c r="P239" t="s">
        <v>26</v>
      </c>
      <c r="Q239" t="s">
        <v>21</v>
      </c>
      <c r="R239" t="s">
        <v>38</v>
      </c>
    </row>
    <row r="240" spans="1:18" x14ac:dyDescent="0.35">
      <c r="A240">
        <v>1032</v>
      </c>
      <c r="B240" s="1">
        <v>45245</v>
      </c>
      <c r="C240" s="1" t="str">
        <f>TEXT(Sales[[#This Row],[Sale_Date]],"YYYY")</f>
        <v>2023</v>
      </c>
      <c r="D240" s="1" t="str">
        <f>TEXT(Sales[[#This Row],[Sale_Date]],"MMMM")</f>
        <v>November</v>
      </c>
      <c r="E240" s="1" t="str">
        <f>TEXT(Sales[[#This Row],[Sale_Date]],"DDDD")</f>
        <v>Wednesday</v>
      </c>
      <c r="F240" t="s">
        <v>41</v>
      </c>
      <c r="G240" t="s">
        <v>20</v>
      </c>
      <c r="H240" s="2">
        <v>9413.77</v>
      </c>
      <c r="I240">
        <v>1</v>
      </c>
      <c r="J240" t="s">
        <v>25</v>
      </c>
      <c r="K240" s="2">
        <v>651</v>
      </c>
      <c r="L240" s="2">
        <v>865.76</v>
      </c>
      <c r="M240" t="s">
        <v>16</v>
      </c>
      <c r="N240">
        <v>0.09</v>
      </c>
      <c r="O240" s="2">
        <f>(Sales[[#This Row],[Unit_Price]]-Sales[[#This Row],[Discount]]*Sales[[#This Row],[Unit_Price]])</f>
        <v>787.84159999999997</v>
      </c>
      <c r="P240" t="s">
        <v>26</v>
      </c>
      <c r="Q240" t="s">
        <v>21</v>
      </c>
      <c r="R240" t="s">
        <v>50</v>
      </c>
    </row>
    <row r="241" spans="1:18" x14ac:dyDescent="0.35">
      <c r="A241">
        <v>1068</v>
      </c>
      <c r="B241" s="1">
        <v>44981</v>
      </c>
      <c r="C241" s="1" t="str">
        <f>TEXT(Sales[[#This Row],[Sale_Date]],"YYYY")</f>
        <v>2023</v>
      </c>
      <c r="D241" s="1" t="str">
        <f>TEXT(Sales[[#This Row],[Sale_Date]],"MMMM")</f>
        <v>February</v>
      </c>
      <c r="E241" s="1" t="str">
        <f>TEXT(Sales[[#This Row],[Sale_Date]],"DDDD")</f>
        <v>Friday</v>
      </c>
      <c r="F241" t="s">
        <v>13</v>
      </c>
      <c r="G241" t="s">
        <v>14</v>
      </c>
      <c r="H241" s="2">
        <v>5118.51</v>
      </c>
      <c r="I241">
        <v>22</v>
      </c>
      <c r="J241" t="s">
        <v>28</v>
      </c>
      <c r="K241" s="2">
        <v>3619.61</v>
      </c>
      <c r="L241" s="2">
        <v>3651.42</v>
      </c>
      <c r="M241" t="s">
        <v>16</v>
      </c>
      <c r="N241">
        <v>0.26</v>
      </c>
      <c r="O241" s="2">
        <f>(Sales[[#This Row],[Unit_Price]]-Sales[[#This Row],[Discount]]*Sales[[#This Row],[Unit_Price]])</f>
        <v>2702.0508</v>
      </c>
      <c r="P241" t="s">
        <v>26</v>
      </c>
      <c r="Q241" t="s">
        <v>18</v>
      </c>
      <c r="R241" t="s">
        <v>19</v>
      </c>
    </row>
    <row r="242" spans="1:18" x14ac:dyDescent="0.35">
      <c r="A242">
        <v>1055</v>
      </c>
      <c r="B242" s="1">
        <v>45075</v>
      </c>
      <c r="C242" s="1" t="str">
        <f>TEXT(Sales[[#This Row],[Sale_Date]],"YYYY")</f>
        <v>2023</v>
      </c>
      <c r="D242" s="1" t="str">
        <f>TEXT(Sales[[#This Row],[Sale_Date]],"MMMM")</f>
        <v>May</v>
      </c>
      <c r="E242" s="1" t="str">
        <f>TEXT(Sales[[#This Row],[Sale_Date]],"DDDD")</f>
        <v>Monday</v>
      </c>
      <c r="F242" t="s">
        <v>37</v>
      </c>
      <c r="G242" t="s">
        <v>14</v>
      </c>
      <c r="H242" s="2">
        <v>4153.18</v>
      </c>
      <c r="I242">
        <v>40</v>
      </c>
      <c r="J242" t="s">
        <v>15</v>
      </c>
      <c r="K242" s="2">
        <v>959.73</v>
      </c>
      <c r="L242" s="2">
        <v>1111.4100000000001</v>
      </c>
      <c r="M242" t="s">
        <v>29</v>
      </c>
      <c r="N242">
        <v>0.23</v>
      </c>
      <c r="O242" s="2">
        <f>(Sales[[#This Row],[Unit_Price]]-Sales[[#This Row],[Discount]]*Sales[[#This Row],[Unit_Price]])</f>
        <v>855.78570000000002</v>
      </c>
      <c r="P242" t="s">
        <v>26</v>
      </c>
      <c r="Q242" t="s">
        <v>18</v>
      </c>
      <c r="R242" t="s">
        <v>39</v>
      </c>
    </row>
    <row r="243" spans="1:18" x14ac:dyDescent="0.35">
      <c r="A243">
        <v>1075</v>
      </c>
      <c r="B243" s="1">
        <v>45235</v>
      </c>
      <c r="C243" s="1" t="str">
        <f>TEXT(Sales[[#This Row],[Sale_Date]],"YYYY")</f>
        <v>2023</v>
      </c>
      <c r="D243" s="1" t="str">
        <f>TEXT(Sales[[#This Row],[Sale_Date]],"MMMM")</f>
        <v>November</v>
      </c>
      <c r="E243" s="1" t="str">
        <f>TEXT(Sales[[#This Row],[Sale_Date]],"DDDD")</f>
        <v>Sunday</v>
      </c>
      <c r="F243" t="s">
        <v>13</v>
      </c>
      <c r="G243" t="s">
        <v>33</v>
      </c>
      <c r="H243" s="2">
        <v>8127.7</v>
      </c>
      <c r="I243">
        <v>37</v>
      </c>
      <c r="J243" t="s">
        <v>25</v>
      </c>
      <c r="K243" s="2">
        <v>1675.51</v>
      </c>
      <c r="L243" s="2">
        <v>1906.6399999999901</v>
      </c>
      <c r="M243" t="s">
        <v>29</v>
      </c>
      <c r="N243">
        <v>0.13</v>
      </c>
      <c r="O243" s="2">
        <f>(Sales[[#This Row],[Unit_Price]]-Sales[[#This Row],[Discount]]*Sales[[#This Row],[Unit_Price]])</f>
        <v>1658.7767999999915</v>
      </c>
      <c r="P243" t="s">
        <v>26</v>
      </c>
      <c r="Q243" t="s">
        <v>18</v>
      </c>
      <c r="R243" t="s">
        <v>45</v>
      </c>
    </row>
    <row r="244" spans="1:18" x14ac:dyDescent="0.35">
      <c r="A244">
        <v>1056</v>
      </c>
      <c r="B244" s="1">
        <v>45063</v>
      </c>
      <c r="C244" s="1" t="str">
        <f>TEXT(Sales[[#This Row],[Sale_Date]],"YYYY")</f>
        <v>2023</v>
      </c>
      <c r="D244" s="1" t="str">
        <f>TEXT(Sales[[#This Row],[Sale_Date]],"MMMM")</f>
        <v>May</v>
      </c>
      <c r="E244" s="1" t="str">
        <f>TEXT(Sales[[#This Row],[Sale_Date]],"DDDD")</f>
        <v>Wednesday</v>
      </c>
      <c r="F244" t="s">
        <v>23</v>
      </c>
      <c r="G244" t="s">
        <v>20</v>
      </c>
      <c r="H244" s="2">
        <v>8374.68</v>
      </c>
      <c r="I244">
        <v>47</v>
      </c>
      <c r="J244" t="s">
        <v>15</v>
      </c>
      <c r="K244" s="2">
        <v>2461.6999999999998</v>
      </c>
      <c r="L244" s="2">
        <v>2529.02</v>
      </c>
      <c r="M244" t="s">
        <v>16</v>
      </c>
      <c r="N244">
        <v>0.22</v>
      </c>
      <c r="O244" s="2">
        <f>(Sales[[#This Row],[Unit_Price]]-Sales[[#This Row],[Discount]]*Sales[[#This Row],[Unit_Price]])</f>
        <v>1972.6356000000001</v>
      </c>
      <c r="P244" t="s">
        <v>17</v>
      </c>
      <c r="Q244" t="s">
        <v>21</v>
      </c>
      <c r="R244" t="s">
        <v>46</v>
      </c>
    </row>
    <row r="245" spans="1:18" x14ac:dyDescent="0.35">
      <c r="A245">
        <v>1017</v>
      </c>
      <c r="B245" s="1">
        <v>45128</v>
      </c>
      <c r="C245" s="1" t="str">
        <f>TEXT(Sales[[#This Row],[Sale_Date]],"YYYY")</f>
        <v>2023</v>
      </c>
      <c r="D245" s="1" t="str">
        <f>TEXT(Sales[[#This Row],[Sale_Date]],"MMMM")</f>
        <v>July</v>
      </c>
      <c r="E245" s="1" t="str">
        <f>TEXT(Sales[[#This Row],[Sale_Date]],"DDDD")</f>
        <v>Friday</v>
      </c>
      <c r="F245" t="s">
        <v>23</v>
      </c>
      <c r="G245" t="s">
        <v>33</v>
      </c>
      <c r="H245" s="2">
        <v>3388.69</v>
      </c>
      <c r="I245">
        <v>1</v>
      </c>
      <c r="J245" t="s">
        <v>25</v>
      </c>
      <c r="K245" s="2">
        <v>172.59</v>
      </c>
      <c r="L245" s="2">
        <v>404.69</v>
      </c>
      <c r="M245" t="s">
        <v>16</v>
      </c>
      <c r="N245">
        <v>0.28999999999999998</v>
      </c>
      <c r="O245" s="2">
        <f>(Sales[[#This Row],[Unit_Price]]-Sales[[#This Row],[Discount]]*Sales[[#This Row],[Unit_Price]])</f>
        <v>287.32990000000001</v>
      </c>
      <c r="P245" t="s">
        <v>26</v>
      </c>
      <c r="Q245" t="s">
        <v>18</v>
      </c>
      <c r="R245" t="s">
        <v>49</v>
      </c>
    </row>
    <row r="246" spans="1:18" x14ac:dyDescent="0.35">
      <c r="A246">
        <v>1038</v>
      </c>
      <c r="B246" s="1">
        <v>45239</v>
      </c>
      <c r="C246" s="1" t="str">
        <f>TEXT(Sales[[#This Row],[Sale_Date]],"YYYY")</f>
        <v>2023</v>
      </c>
      <c r="D246" s="1" t="str">
        <f>TEXT(Sales[[#This Row],[Sale_Date]],"MMMM")</f>
        <v>November</v>
      </c>
      <c r="E246" s="1" t="str">
        <f>TEXT(Sales[[#This Row],[Sale_Date]],"DDDD")</f>
        <v>Thursday</v>
      </c>
      <c r="F246" t="s">
        <v>23</v>
      </c>
      <c r="G246" t="s">
        <v>33</v>
      </c>
      <c r="H246" s="2">
        <v>6966.82</v>
      </c>
      <c r="I246">
        <v>1</v>
      </c>
      <c r="J246" t="s">
        <v>25</v>
      </c>
      <c r="K246" s="2">
        <v>1281.6500000000001</v>
      </c>
      <c r="L246" s="2">
        <v>1709.71</v>
      </c>
      <c r="M246" t="s">
        <v>16</v>
      </c>
      <c r="N246">
        <v>0.14000000000000001</v>
      </c>
      <c r="O246" s="2">
        <f>(Sales[[#This Row],[Unit_Price]]-Sales[[#This Row],[Discount]]*Sales[[#This Row],[Unit_Price]])</f>
        <v>1470.3506</v>
      </c>
      <c r="P246" t="s">
        <v>30</v>
      </c>
      <c r="Q246" t="s">
        <v>18</v>
      </c>
      <c r="R246" t="s">
        <v>49</v>
      </c>
    </row>
    <row r="247" spans="1:18" x14ac:dyDescent="0.35">
      <c r="A247">
        <v>1024</v>
      </c>
      <c r="B247" s="1">
        <v>45043</v>
      </c>
      <c r="C247" s="1" t="str">
        <f>TEXT(Sales[[#This Row],[Sale_Date]],"YYYY")</f>
        <v>2023</v>
      </c>
      <c r="D247" s="1" t="str">
        <f>TEXT(Sales[[#This Row],[Sale_Date]],"MMMM")</f>
        <v>April</v>
      </c>
      <c r="E247" s="1" t="str">
        <f>TEXT(Sales[[#This Row],[Sale_Date]],"DDDD")</f>
        <v>Thursday</v>
      </c>
      <c r="F247" t="s">
        <v>41</v>
      </c>
      <c r="G247" t="s">
        <v>20</v>
      </c>
      <c r="H247" s="2">
        <v>7734.12</v>
      </c>
      <c r="I247">
        <v>42</v>
      </c>
      <c r="J247" t="s">
        <v>25</v>
      </c>
      <c r="K247" s="2">
        <v>2069.0500000000002</v>
      </c>
      <c r="L247" s="2">
        <v>2363.9</v>
      </c>
      <c r="M247" t="s">
        <v>16</v>
      </c>
      <c r="N247">
        <v>7.0000000000000007E-2</v>
      </c>
      <c r="O247" s="2">
        <f>(Sales[[#This Row],[Unit_Price]]-Sales[[#This Row],[Discount]]*Sales[[#This Row],[Unit_Price]])</f>
        <v>2198.4270000000001</v>
      </c>
      <c r="P247" t="s">
        <v>17</v>
      </c>
      <c r="Q247" t="s">
        <v>18</v>
      </c>
      <c r="R247" t="s">
        <v>50</v>
      </c>
    </row>
    <row r="248" spans="1:18" x14ac:dyDescent="0.35">
      <c r="A248">
        <v>1069</v>
      </c>
      <c r="B248" s="1">
        <v>45080</v>
      </c>
      <c r="C248" s="1" t="str">
        <f>TEXT(Sales[[#This Row],[Sale_Date]],"YYYY")</f>
        <v>2023</v>
      </c>
      <c r="D248" s="1" t="str">
        <f>TEXT(Sales[[#This Row],[Sale_Date]],"MMMM")</f>
        <v>June</v>
      </c>
      <c r="E248" s="1" t="str">
        <f>TEXT(Sales[[#This Row],[Sale_Date]],"DDDD")</f>
        <v>Saturday</v>
      </c>
      <c r="F248" t="s">
        <v>23</v>
      </c>
      <c r="G248" t="s">
        <v>20</v>
      </c>
      <c r="H248" s="2">
        <v>6581.04</v>
      </c>
      <c r="I248">
        <v>42</v>
      </c>
      <c r="J248" t="s">
        <v>28</v>
      </c>
      <c r="K248" s="2">
        <v>1434.2</v>
      </c>
      <c r="L248" s="2">
        <v>1482.88</v>
      </c>
      <c r="M248" t="s">
        <v>29</v>
      </c>
      <c r="N248">
        <v>0.28000000000000003</v>
      </c>
      <c r="O248" s="2">
        <f>(Sales[[#This Row],[Unit_Price]]-Sales[[#This Row],[Discount]]*Sales[[#This Row],[Unit_Price]])</f>
        <v>1067.6736000000001</v>
      </c>
      <c r="P248" t="s">
        <v>30</v>
      </c>
      <c r="Q248" t="s">
        <v>21</v>
      </c>
      <c r="R248" t="s">
        <v>46</v>
      </c>
    </row>
    <row r="249" spans="1:18" x14ac:dyDescent="0.35">
      <c r="A249">
        <v>1098</v>
      </c>
      <c r="B249" s="1">
        <v>45217</v>
      </c>
      <c r="C249" s="1" t="str">
        <f>TEXT(Sales[[#This Row],[Sale_Date]],"YYYY")</f>
        <v>2023</v>
      </c>
      <c r="D249" s="1" t="str">
        <f>TEXT(Sales[[#This Row],[Sale_Date]],"MMMM")</f>
        <v>October</v>
      </c>
      <c r="E249" s="1" t="str">
        <f>TEXT(Sales[[#This Row],[Sale_Date]],"DDDD")</f>
        <v>Wednesday</v>
      </c>
      <c r="F249" t="s">
        <v>37</v>
      </c>
      <c r="G249" t="s">
        <v>20</v>
      </c>
      <c r="H249" s="2">
        <v>1600.79</v>
      </c>
      <c r="I249">
        <v>21</v>
      </c>
      <c r="J249" t="s">
        <v>15</v>
      </c>
      <c r="K249" s="2">
        <v>725.03</v>
      </c>
      <c r="L249" s="2">
        <v>828.94999999999902</v>
      </c>
      <c r="M249" t="s">
        <v>29</v>
      </c>
      <c r="N249">
        <v>0.18</v>
      </c>
      <c r="O249" s="2">
        <f>(Sales[[#This Row],[Unit_Price]]-Sales[[#This Row],[Discount]]*Sales[[#This Row],[Unit_Price]])</f>
        <v>679.73899999999924</v>
      </c>
      <c r="P249" t="s">
        <v>26</v>
      </c>
      <c r="Q249" t="s">
        <v>18</v>
      </c>
      <c r="R249" t="s">
        <v>40</v>
      </c>
    </row>
    <row r="250" spans="1:18" x14ac:dyDescent="0.35">
      <c r="A250">
        <v>1070</v>
      </c>
      <c r="B250" s="1">
        <v>44989</v>
      </c>
      <c r="C250" s="1" t="str">
        <f>TEXT(Sales[[#This Row],[Sale_Date]],"YYYY")</f>
        <v>2023</v>
      </c>
      <c r="D250" s="1" t="str">
        <f>TEXT(Sales[[#This Row],[Sale_Date]],"MMMM")</f>
        <v>March</v>
      </c>
      <c r="E250" s="1" t="str">
        <f>TEXT(Sales[[#This Row],[Sale_Date]],"DDDD")</f>
        <v>Saturday</v>
      </c>
      <c r="F250" t="s">
        <v>13</v>
      </c>
      <c r="G250" t="s">
        <v>24</v>
      </c>
      <c r="H250" s="2">
        <v>8771.24</v>
      </c>
      <c r="I250">
        <v>15</v>
      </c>
      <c r="J250" t="s">
        <v>34</v>
      </c>
      <c r="K250" s="2">
        <v>3653.66</v>
      </c>
      <c r="L250" s="2">
        <v>3896.19</v>
      </c>
      <c r="M250" t="s">
        <v>29</v>
      </c>
      <c r="N250">
        <v>0.03</v>
      </c>
      <c r="O250" s="2">
        <f>(Sales[[#This Row],[Unit_Price]]-Sales[[#This Row],[Discount]]*Sales[[#This Row],[Unit_Price]])</f>
        <v>3779.3043000000002</v>
      </c>
      <c r="P250" t="s">
        <v>30</v>
      </c>
      <c r="Q250" t="s">
        <v>21</v>
      </c>
      <c r="R250" t="s">
        <v>31</v>
      </c>
    </row>
    <row r="251" spans="1:18" x14ac:dyDescent="0.35">
      <c r="A251">
        <v>1086</v>
      </c>
      <c r="B251" s="1">
        <v>45170</v>
      </c>
      <c r="C251" s="1" t="str">
        <f>TEXT(Sales[[#This Row],[Sale_Date]],"YYYY")</f>
        <v>2023</v>
      </c>
      <c r="D251" s="1" t="str">
        <f>TEXT(Sales[[#This Row],[Sale_Date]],"MMMM")</f>
        <v>September</v>
      </c>
      <c r="E251" s="1" t="str">
        <f>TEXT(Sales[[#This Row],[Sale_Date]],"DDDD")</f>
        <v>Friday</v>
      </c>
      <c r="F251" t="s">
        <v>32</v>
      </c>
      <c r="G251" t="s">
        <v>20</v>
      </c>
      <c r="H251" s="2">
        <v>5437.04</v>
      </c>
      <c r="I251">
        <v>17</v>
      </c>
      <c r="J251" t="s">
        <v>34</v>
      </c>
      <c r="K251" s="2">
        <v>4075.08</v>
      </c>
      <c r="L251" s="2">
        <v>4262.21</v>
      </c>
      <c r="M251" t="s">
        <v>29</v>
      </c>
      <c r="N251">
        <v>0.17</v>
      </c>
      <c r="O251" s="2">
        <f>(Sales[[#This Row],[Unit_Price]]-Sales[[#This Row],[Discount]]*Sales[[#This Row],[Unit_Price]])</f>
        <v>3537.6342999999997</v>
      </c>
      <c r="P251" t="s">
        <v>17</v>
      </c>
      <c r="Q251" t="s">
        <v>18</v>
      </c>
      <c r="R251" t="s">
        <v>36</v>
      </c>
    </row>
    <row r="252" spans="1:18" x14ac:dyDescent="0.35">
      <c r="A252">
        <v>1011</v>
      </c>
      <c r="B252" s="1">
        <v>44951</v>
      </c>
      <c r="C252" s="1" t="str">
        <f>TEXT(Sales[[#This Row],[Sale_Date]],"YYYY")</f>
        <v>2023</v>
      </c>
      <c r="D252" s="1" t="str">
        <f>TEXT(Sales[[#This Row],[Sale_Date]],"MMMM")</f>
        <v>January</v>
      </c>
      <c r="E252" s="1" t="str">
        <f>TEXT(Sales[[#This Row],[Sale_Date]],"DDDD")</f>
        <v>Wednesday</v>
      </c>
      <c r="F252" t="s">
        <v>37</v>
      </c>
      <c r="G252" t="s">
        <v>14</v>
      </c>
      <c r="H252" s="2">
        <v>2896.48</v>
      </c>
      <c r="I252">
        <v>22</v>
      </c>
      <c r="J252" t="s">
        <v>34</v>
      </c>
      <c r="K252" s="2">
        <v>1324.52</v>
      </c>
      <c r="L252" s="2">
        <v>1510.3</v>
      </c>
      <c r="M252" t="s">
        <v>16</v>
      </c>
      <c r="N252">
        <v>0.15</v>
      </c>
      <c r="O252" s="2">
        <f>(Sales[[#This Row],[Unit_Price]]-Sales[[#This Row],[Discount]]*Sales[[#This Row],[Unit_Price]])</f>
        <v>1283.7549999999999</v>
      </c>
      <c r="P252" t="s">
        <v>17</v>
      </c>
      <c r="Q252" t="s">
        <v>21</v>
      </c>
      <c r="R252" t="s">
        <v>39</v>
      </c>
    </row>
    <row r="253" spans="1:18" x14ac:dyDescent="0.35">
      <c r="A253">
        <v>1016</v>
      </c>
      <c r="B253" s="1">
        <v>45016</v>
      </c>
      <c r="C253" s="1" t="str">
        <f>TEXT(Sales[[#This Row],[Sale_Date]],"YYYY")</f>
        <v>2023</v>
      </c>
      <c r="D253" s="1" t="str">
        <f>TEXT(Sales[[#This Row],[Sale_Date]],"MMMM")</f>
        <v>March</v>
      </c>
      <c r="E253" s="1" t="str">
        <f>TEXT(Sales[[#This Row],[Sale_Date]],"DDDD")</f>
        <v>Friday</v>
      </c>
      <c r="F253" t="s">
        <v>37</v>
      </c>
      <c r="G253" t="s">
        <v>33</v>
      </c>
      <c r="H253" s="2">
        <v>4309.76</v>
      </c>
      <c r="I253">
        <v>38</v>
      </c>
      <c r="J253" t="s">
        <v>34</v>
      </c>
      <c r="K253" s="2">
        <v>3883.38</v>
      </c>
      <c r="L253" s="2">
        <v>4152.72</v>
      </c>
      <c r="M253" t="s">
        <v>16</v>
      </c>
      <c r="N253">
        <v>0.26</v>
      </c>
      <c r="O253" s="2">
        <f>(Sales[[#This Row],[Unit_Price]]-Sales[[#This Row],[Discount]]*Sales[[#This Row],[Unit_Price]])</f>
        <v>3073.0128000000004</v>
      </c>
      <c r="P253" t="s">
        <v>17</v>
      </c>
      <c r="Q253" t="s">
        <v>18</v>
      </c>
      <c r="R253" t="s">
        <v>47</v>
      </c>
    </row>
    <row r="254" spans="1:18" x14ac:dyDescent="0.35">
      <c r="A254">
        <v>1097</v>
      </c>
      <c r="B254" s="1">
        <v>45001</v>
      </c>
      <c r="C254" s="1" t="str">
        <f>TEXT(Sales[[#This Row],[Sale_Date]],"YYYY")</f>
        <v>2023</v>
      </c>
      <c r="D254" s="1" t="str">
        <f>TEXT(Sales[[#This Row],[Sale_Date]],"MMMM")</f>
        <v>March</v>
      </c>
      <c r="E254" s="1" t="str">
        <f>TEXT(Sales[[#This Row],[Sale_Date]],"DDDD")</f>
        <v>Thursday</v>
      </c>
      <c r="F254" t="s">
        <v>23</v>
      </c>
      <c r="G254" t="s">
        <v>24</v>
      </c>
      <c r="H254" s="2">
        <v>471.95</v>
      </c>
      <c r="I254">
        <v>35</v>
      </c>
      <c r="J254" t="s">
        <v>25</v>
      </c>
      <c r="K254" s="2">
        <v>1958.49</v>
      </c>
      <c r="L254" s="2">
        <v>2254.84</v>
      </c>
      <c r="M254" t="s">
        <v>29</v>
      </c>
      <c r="N254">
        <v>0.16</v>
      </c>
      <c r="O254" s="2">
        <f>(Sales[[#This Row],[Unit_Price]]-Sales[[#This Row],[Discount]]*Sales[[#This Row],[Unit_Price]])</f>
        <v>1894.0656000000001</v>
      </c>
      <c r="P254" t="s">
        <v>30</v>
      </c>
      <c r="Q254" t="s">
        <v>18</v>
      </c>
      <c r="R254" t="s">
        <v>27</v>
      </c>
    </row>
    <row r="255" spans="1:18" x14ac:dyDescent="0.35">
      <c r="A255">
        <v>1073</v>
      </c>
      <c r="B255" s="1">
        <v>45220</v>
      </c>
      <c r="C255" s="1" t="str">
        <f>TEXT(Sales[[#This Row],[Sale_Date]],"YYYY")</f>
        <v>2023</v>
      </c>
      <c r="D255" s="1" t="str">
        <f>TEXT(Sales[[#This Row],[Sale_Date]],"MMMM")</f>
        <v>October</v>
      </c>
      <c r="E255" s="1" t="str">
        <f>TEXT(Sales[[#This Row],[Sale_Date]],"DDDD")</f>
        <v>Saturday</v>
      </c>
      <c r="F255" t="s">
        <v>41</v>
      </c>
      <c r="G255" t="s">
        <v>20</v>
      </c>
      <c r="H255" s="2">
        <v>1365.88</v>
      </c>
      <c r="I255">
        <v>45</v>
      </c>
      <c r="J255" t="s">
        <v>15</v>
      </c>
      <c r="K255" s="2">
        <v>2558.09</v>
      </c>
      <c r="L255" s="2">
        <v>2958.55</v>
      </c>
      <c r="M255" t="s">
        <v>29</v>
      </c>
      <c r="N255">
        <v>0.08</v>
      </c>
      <c r="O255" s="2">
        <f>(Sales[[#This Row],[Unit_Price]]-Sales[[#This Row],[Discount]]*Sales[[#This Row],[Unit_Price]])</f>
        <v>2721.866</v>
      </c>
      <c r="P255" t="s">
        <v>17</v>
      </c>
      <c r="Q255" t="s">
        <v>18</v>
      </c>
      <c r="R255" t="s">
        <v>50</v>
      </c>
    </row>
    <row r="256" spans="1:18" x14ac:dyDescent="0.35">
      <c r="A256">
        <v>1059</v>
      </c>
      <c r="B256" s="1">
        <v>45136</v>
      </c>
      <c r="C256" s="1" t="str">
        <f>TEXT(Sales[[#This Row],[Sale_Date]],"YYYY")</f>
        <v>2023</v>
      </c>
      <c r="D256" s="1" t="str">
        <f>TEXT(Sales[[#This Row],[Sale_Date]],"MMMM")</f>
        <v>July</v>
      </c>
      <c r="E256" s="1" t="str">
        <f>TEXT(Sales[[#This Row],[Sale_Date]],"DDDD")</f>
        <v>Saturday</v>
      </c>
      <c r="F256" t="s">
        <v>13</v>
      </c>
      <c r="G256" t="s">
        <v>24</v>
      </c>
      <c r="H256" s="2">
        <v>7678.91</v>
      </c>
      <c r="I256">
        <v>16</v>
      </c>
      <c r="J256" t="s">
        <v>15</v>
      </c>
      <c r="K256" s="2">
        <v>4287.21</v>
      </c>
      <c r="L256" s="2">
        <v>4464.28</v>
      </c>
      <c r="M256" t="s">
        <v>16</v>
      </c>
      <c r="N256">
        <v>0.2</v>
      </c>
      <c r="O256" s="2">
        <f>(Sales[[#This Row],[Unit_Price]]-Sales[[#This Row],[Discount]]*Sales[[#This Row],[Unit_Price]])</f>
        <v>3571.424</v>
      </c>
      <c r="P256" t="s">
        <v>30</v>
      </c>
      <c r="Q256" t="s">
        <v>21</v>
      </c>
      <c r="R256" t="s">
        <v>31</v>
      </c>
    </row>
    <row r="257" spans="1:18" x14ac:dyDescent="0.35">
      <c r="A257">
        <v>1070</v>
      </c>
      <c r="B257" s="1">
        <v>45273</v>
      </c>
      <c r="C257" s="1" t="str">
        <f>TEXT(Sales[[#This Row],[Sale_Date]],"YYYY")</f>
        <v>2023</v>
      </c>
      <c r="D257" s="1" t="str">
        <f>TEXT(Sales[[#This Row],[Sale_Date]],"MMMM")</f>
        <v>December</v>
      </c>
      <c r="E257" s="1" t="str">
        <f>TEXT(Sales[[#This Row],[Sale_Date]],"DDDD")</f>
        <v>Wednesday</v>
      </c>
      <c r="F257" t="s">
        <v>41</v>
      </c>
      <c r="G257" t="s">
        <v>20</v>
      </c>
      <c r="H257" s="2">
        <v>100.12</v>
      </c>
      <c r="I257">
        <v>8</v>
      </c>
      <c r="J257" t="s">
        <v>28</v>
      </c>
      <c r="K257" s="2">
        <v>3762.27</v>
      </c>
      <c r="L257" s="2">
        <v>4166.95</v>
      </c>
      <c r="M257" t="s">
        <v>16</v>
      </c>
      <c r="N257">
        <v>0.16</v>
      </c>
      <c r="O257" s="2">
        <f>(Sales[[#This Row],[Unit_Price]]-Sales[[#This Row],[Discount]]*Sales[[#This Row],[Unit_Price]])</f>
        <v>3500.2379999999998</v>
      </c>
      <c r="P257" t="s">
        <v>26</v>
      </c>
      <c r="Q257" t="s">
        <v>18</v>
      </c>
      <c r="R257" t="s">
        <v>50</v>
      </c>
    </row>
    <row r="258" spans="1:18" x14ac:dyDescent="0.35">
      <c r="A258">
        <v>1080</v>
      </c>
      <c r="B258" s="1">
        <v>44943</v>
      </c>
      <c r="C258" s="1" t="str">
        <f>TEXT(Sales[[#This Row],[Sale_Date]],"YYYY")</f>
        <v>2023</v>
      </c>
      <c r="D258" s="1" t="str">
        <f>TEXT(Sales[[#This Row],[Sale_Date]],"MMMM")</f>
        <v>January</v>
      </c>
      <c r="E258" s="1" t="str">
        <f>TEXT(Sales[[#This Row],[Sale_Date]],"DDDD")</f>
        <v>Tuesday</v>
      </c>
      <c r="F258" t="s">
        <v>13</v>
      </c>
      <c r="G258" t="s">
        <v>24</v>
      </c>
      <c r="H258" s="2">
        <v>4224</v>
      </c>
      <c r="I258">
        <v>47</v>
      </c>
      <c r="J258" t="s">
        <v>15</v>
      </c>
      <c r="K258" s="2">
        <v>4035.33</v>
      </c>
      <c r="L258" s="2">
        <v>4211.25</v>
      </c>
      <c r="M258" t="s">
        <v>16</v>
      </c>
      <c r="N258">
        <v>7.0000000000000007E-2</v>
      </c>
      <c r="O258" s="2">
        <f>(Sales[[#This Row],[Unit_Price]]-Sales[[#This Row],[Discount]]*Sales[[#This Row],[Unit_Price]])</f>
        <v>3916.4625000000001</v>
      </c>
      <c r="P258" t="s">
        <v>26</v>
      </c>
      <c r="Q258" t="s">
        <v>18</v>
      </c>
      <c r="R258" t="s">
        <v>31</v>
      </c>
    </row>
    <row r="259" spans="1:18" x14ac:dyDescent="0.35">
      <c r="A259">
        <v>1093</v>
      </c>
      <c r="B259" s="1">
        <v>45054</v>
      </c>
      <c r="C259" s="1" t="str">
        <f>TEXT(Sales[[#This Row],[Sale_Date]],"YYYY")</f>
        <v>2023</v>
      </c>
      <c r="D259" s="1" t="str">
        <f>TEXT(Sales[[#This Row],[Sale_Date]],"MMMM")</f>
        <v>May</v>
      </c>
      <c r="E259" s="1" t="str">
        <f>TEXT(Sales[[#This Row],[Sale_Date]],"DDDD")</f>
        <v>Monday</v>
      </c>
      <c r="F259" t="s">
        <v>13</v>
      </c>
      <c r="G259" t="s">
        <v>33</v>
      </c>
      <c r="H259" s="2">
        <v>5272.85</v>
      </c>
      <c r="I259">
        <v>17</v>
      </c>
      <c r="J259" t="s">
        <v>15</v>
      </c>
      <c r="K259" s="2">
        <v>727.38</v>
      </c>
      <c r="L259" s="2">
        <v>764.54</v>
      </c>
      <c r="M259" t="s">
        <v>16</v>
      </c>
      <c r="N259">
        <v>0.17</v>
      </c>
      <c r="O259" s="2">
        <f>(Sales[[#This Row],[Unit_Price]]-Sales[[#This Row],[Discount]]*Sales[[#This Row],[Unit_Price]])</f>
        <v>634.56819999999993</v>
      </c>
      <c r="P259" t="s">
        <v>30</v>
      </c>
      <c r="Q259" t="s">
        <v>21</v>
      </c>
      <c r="R259" t="s">
        <v>45</v>
      </c>
    </row>
    <row r="260" spans="1:18" x14ac:dyDescent="0.35">
      <c r="A260">
        <v>1003</v>
      </c>
      <c r="B260" s="1">
        <v>45290</v>
      </c>
      <c r="C260" s="1" t="str">
        <f>TEXT(Sales[[#This Row],[Sale_Date]],"YYYY")</f>
        <v>2023</v>
      </c>
      <c r="D260" s="1" t="str">
        <f>TEXT(Sales[[#This Row],[Sale_Date]],"MMMM")</f>
        <v>December</v>
      </c>
      <c r="E260" s="1" t="str">
        <f>TEXT(Sales[[#This Row],[Sale_Date]],"DDDD")</f>
        <v>Saturday</v>
      </c>
      <c r="F260" t="s">
        <v>41</v>
      </c>
      <c r="G260" t="s">
        <v>33</v>
      </c>
      <c r="H260" s="2">
        <v>640.88</v>
      </c>
      <c r="I260">
        <v>17</v>
      </c>
      <c r="J260" t="s">
        <v>15</v>
      </c>
      <c r="K260" s="2">
        <v>395.11</v>
      </c>
      <c r="L260" s="2">
        <v>676.66</v>
      </c>
      <c r="M260" t="s">
        <v>16</v>
      </c>
      <c r="N260">
        <v>0.25</v>
      </c>
      <c r="O260" s="2">
        <f>(Sales[[#This Row],[Unit_Price]]-Sales[[#This Row],[Discount]]*Sales[[#This Row],[Unit_Price]])</f>
        <v>507.495</v>
      </c>
      <c r="P260" t="s">
        <v>17</v>
      </c>
      <c r="Q260" t="s">
        <v>21</v>
      </c>
      <c r="R260" t="s">
        <v>51</v>
      </c>
    </row>
    <row r="261" spans="1:18" x14ac:dyDescent="0.35">
      <c r="A261">
        <v>1020</v>
      </c>
      <c r="B261" s="1">
        <v>45177</v>
      </c>
      <c r="C261" s="1" t="str">
        <f>TEXT(Sales[[#This Row],[Sale_Date]],"YYYY")</f>
        <v>2023</v>
      </c>
      <c r="D261" s="1" t="str">
        <f>TEXT(Sales[[#This Row],[Sale_Date]],"MMMM")</f>
        <v>September</v>
      </c>
      <c r="E261" s="1" t="str">
        <f>TEXT(Sales[[#This Row],[Sale_Date]],"DDDD")</f>
        <v>Friday</v>
      </c>
      <c r="F261" t="s">
        <v>37</v>
      </c>
      <c r="G261" t="s">
        <v>14</v>
      </c>
      <c r="H261" s="2">
        <v>9733.4699999999993</v>
      </c>
      <c r="I261">
        <v>26</v>
      </c>
      <c r="J261" t="s">
        <v>28</v>
      </c>
      <c r="K261" s="2">
        <v>4472.3500000000004</v>
      </c>
      <c r="L261" s="2">
        <v>4770.42</v>
      </c>
      <c r="M261" t="s">
        <v>29</v>
      </c>
      <c r="N261">
        <v>0.01</v>
      </c>
      <c r="O261" s="2">
        <f>(Sales[[#This Row],[Unit_Price]]-Sales[[#This Row],[Discount]]*Sales[[#This Row],[Unit_Price]])</f>
        <v>4722.7157999999999</v>
      </c>
      <c r="P261" t="s">
        <v>30</v>
      </c>
      <c r="Q261" t="s">
        <v>21</v>
      </c>
      <c r="R261" t="s">
        <v>39</v>
      </c>
    </row>
    <row r="262" spans="1:18" x14ac:dyDescent="0.35">
      <c r="A262">
        <v>1059</v>
      </c>
      <c r="B262" s="1">
        <v>45105</v>
      </c>
      <c r="C262" s="1" t="str">
        <f>TEXT(Sales[[#This Row],[Sale_Date]],"YYYY")</f>
        <v>2023</v>
      </c>
      <c r="D262" s="1" t="str">
        <f>TEXT(Sales[[#This Row],[Sale_Date]],"MMMM")</f>
        <v>June</v>
      </c>
      <c r="E262" s="1" t="str">
        <f>TEXT(Sales[[#This Row],[Sale_Date]],"DDDD")</f>
        <v>Wednesday</v>
      </c>
      <c r="F262" t="s">
        <v>13</v>
      </c>
      <c r="G262" t="s">
        <v>14</v>
      </c>
      <c r="H262" s="2">
        <v>2338.64</v>
      </c>
      <c r="I262">
        <v>13</v>
      </c>
      <c r="J262" t="s">
        <v>34</v>
      </c>
      <c r="K262" s="2">
        <v>1969.78</v>
      </c>
      <c r="L262" s="2">
        <v>2437.6999999999998</v>
      </c>
      <c r="M262" t="s">
        <v>29</v>
      </c>
      <c r="N262">
        <v>0.19</v>
      </c>
      <c r="O262" s="2">
        <f>(Sales[[#This Row],[Unit_Price]]-Sales[[#This Row],[Discount]]*Sales[[#This Row],[Unit_Price]])</f>
        <v>1974.5369999999998</v>
      </c>
      <c r="P262" t="s">
        <v>30</v>
      </c>
      <c r="Q262" t="s">
        <v>21</v>
      </c>
      <c r="R262" t="s">
        <v>19</v>
      </c>
    </row>
    <row r="263" spans="1:18" x14ac:dyDescent="0.35">
      <c r="A263">
        <v>1036</v>
      </c>
      <c r="B263" s="1">
        <v>45108</v>
      </c>
      <c r="C263" s="1" t="str">
        <f>TEXT(Sales[[#This Row],[Sale_Date]],"YYYY")</f>
        <v>2023</v>
      </c>
      <c r="D263" s="1" t="str">
        <f>TEXT(Sales[[#This Row],[Sale_Date]],"MMMM")</f>
        <v>July</v>
      </c>
      <c r="E263" s="1" t="str">
        <f>TEXT(Sales[[#This Row],[Sale_Date]],"DDDD")</f>
        <v>Saturday</v>
      </c>
      <c r="F263" t="s">
        <v>41</v>
      </c>
      <c r="G263" t="s">
        <v>20</v>
      </c>
      <c r="H263" s="2">
        <v>3111.57</v>
      </c>
      <c r="I263">
        <v>17</v>
      </c>
      <c r="J263" t="s">
        <v>15</v>
      </c>
      <c r="K263" s="2">
        <v>1475</v>
      </c>
      <c r="L263" s="2">
        <v>1840.77</v>
      </c>
      <c r="M263" t="s">
        <v>16</v>
      </c>
      <c r="N263">
        <v>0.1</v>
      </c>
      <c r="O263" s="2">
        <f>(Sales[[#This Row],[Unit_Price]]-Sales[[#This Row],[Discount]]*Sales[[#This Row],[Unit_Price]])</f>
        <v>1656.693</v>
      </c>
      <c r="P263" t="s">
        <v>30</v>
      </c>
      <c r="Q263" t="s">
        <v>18</v>
      </c>
      <c r="R263" t="s">
        <v>50</v>
      </c>
    </row>
    <row r="264" spans="1:18" x14ac:dyDescent="0.35">
      <c r="A264">
        <v>1019</v>
      </c>
      <c r="B264" s="1">
        <v>45078</v>
      </c>
      <c r="C264" s="1" t="str">
        <f>TEXT(Sales[[#This Row],[Sale_Date]],"YYYY")</f>
        <v>2023</v>
      </c>
      <c r="D264" s="1" t="str">
        <f>TEXT(Sales[[#This Row],[Sale_Date]],"MMMM")</f>
        <v>June</v>
      </c>
      <c r="E264" s="1" t="str">
        <f>TEXT(Sales[[#This Row],[Sale_Date]],"DDDD")</f>
        <v>Thursday</v>
      </c>
      <c r="F264" t="s">
        <v>13</v>
      </c>
      <c r="G264" t="s">
        <v>33</v>
      </c>
      <c r="H264" s="2">
        <v>3109.03</v>
      </c>
      <c r="I264">
        <v>38</v>
      </c>
      <c r="J264" t="s">
        <v>28</v>
      </c>
      <c r="K264" s="2">
        <v>3637.25</v>
      </c>
      <c r="L264" s="2">
        <v>4096.96</v>
      </c>
      <c r="M264" t="s">
        <v>16</v>
      </c>
      <c r="N264">
        <v>0.09</v>
      </c>
      <c r="O264" s="2">
        <f>(Sales[[#This Row],[Unit_Price]]-Sales[[#This Row],[Discount]]*Sales[[#This Row],[Unit_Price]])</f>
        <v>3728.2336</v>
      </c>
      <c r="P264" t="s">
        <v>26</v>
      </c>
      <c r="Q264" t="s">
        <v>18</v>
      </c>
      <c r="R264" t="s">
        <v>45</v>
      </c>
    </row>
    <row r="265" spans="1:18" x14ac:dyDescent="0.35">
      <c r="A265">
        <v>1090</v>
      </c>
      <c r="B265" s="1">
        <v>44951</v>
      </c>
      <c r="C265" s="1" t="str">
        <f>TEXT(Sales[[#This Row],[Sale_Date]],"YYYY")</f>
        <v>2023</v>
      </c>
      <c r="D265" s="1" t="str">
        <f>TEXT(Sales[[#This Row],[Sale_Date]],"MMMM")</f>
        <v>January</v>
      </c>
      <c r="E265" s="1" t="str">
        <f>TEXT(Sales[[#This Row],[Sale_Date]],"DDDD")</f>
        <v>Wednesday</v>
      </c>
      <c r="F265" t="s">
        <v>32</v>
      </c>
      <c r="G265" t="s">
        <v>24</v>
      </c>
      <c r="H265" s="2">
        <v>2381.12</v>
      </c>
      <c r="I265">
        <v>17</v>
      </c>
      <c r="J265" t="s">
        <v>28</v>
      </c>
      <c r="K265" s="2">
        <v>4190.26</v>
      </c>
      <c r="L265" s="2">
        <v>4645.3500000000004</v>
      </c>
      <c r="M265" t="s">
        <v>29</v>
      </c>
      <c r="N265">
        <v>0.12</v>
      </c>
      <c r="O265" s="2">
        <f>(Sales[[#This Row],[Unit_Price]]-Sales[[#This Row],[Discount]]*Sales[[#This Row],[Unit_Price]])</f>
        <v>4087.9080000000004</v>
      </c>
      <c r="P265" t="s">
        <v>30</v>
      </c>
      <c r="Q265" t="s">
        <v>21</v>
      </c>
      <c r="R265" t="s">
        <v>43</v>
      </c>
    </row>
    <row r="266" spans="1:18" x14ac:dyDescent="0.35">
      <c r="A266">
        <v>1067</v>
      </c>
      <c r="B266" s="1">
        <v>45106</v>
      </c>
      <c r="C266" s="1" t="str">
        <f>TEXT(Sales[[#This Row],[Sale_Date]],"YYYY")</f>
        <v>2023</v>
      </c>
      <c r="D266" s="1" t="str">
        <f>TEXT(Sales[[#This Row],[Sale_Date]],"MMMM")</f>
        <v>June</v>
      </c>
      <c r="E266" s="1" t="str">
        <f>TEXT(Sales[[#This Row],[Sale_Date]],"DDDD")</f>
        <v>Thursday</v>
      </c>
      <c r="F266" t="s">
        <v>37</v>
      </c>
      <c r="G266" t="s">
        <v>24</v>
      </c>
      <c r="H266" s="2">
        <v>114.59</v>
      </c>
      <c r="I266">
        <v>48</v>
      </c>
      <c r="J266" t="s">
        <v>25</v>
      </c>
      <c r="K266" s="2">
        <v>4319.32</v>
      </c>
      <c r="L266" s="2">
        <v>4625.5599999999904</v>
      </c>
      <c r="M266" t="s">
        <v>16</v>
      </c>
      <c r="N266">
        <v>0.1</v>
      </c>
      <c r="O266" s="2">
        <f>(Sales[[#This Row],[Unit_Price]]-Sales[[#This Row],[Discount]]*Sales[[#This Row],[Unit_Price]])</f>
        <v>4163.0039999999917</v>
      </c>
      <c r="P266" t="s">
        <v>26</v>
      </c>
      <c r="Q266" t="s">
        <v>18</v>
      </c>
      <c r="R266" t="s">
        <v>38</v>
      </c>
    </row>
    <row r="267" spans="1:18" x14ac:dyDescent="0.35">
      <c r="A267">
        <v>1019</v>
      </c>
      <c r="B267" s="1">
        <v>45124</v>
      </c>
      <c r="C267" s="1" t="str">
        <f>TEXT(Sales[[#This Row],[Sale_Date]],"YYYY")</f>
        <v>2023</v>
      </c>
      <c r="D267" s="1" t="str">
        <f>TEXT(Sales[[#This Row],[Sale_Date]],"MMMM")</f>
        <v>July</v>
      </c>
      <c r="E267" s="1" t="str">
        <f>TEXT(Sales[[#This Row],[Sale_Date]],"DDDD")</f>
        <v>Monday</v>
      </c>
      <c r="F267" t="s">
        <v>23</v>
      </c>
      <c r="G267" t="s">
        <v>24</v>
      </c>
      <c r="H267" s="2">
        <v>7320.51</v>
      </c>
      <c r="I267">
        <v>14</v>
      </c>
      <c r="J267" t="s">
        <v>28</v>
      </c>
      <c r="K267" s="2">
        <v>1614.19</v>
      </c>
      <c r="L267" s="2">
        <v>1882.79</v>
      </c>
      <c r="M267" t="s">
        <v>29</v>
      </c>
      <c r="N267">
        <v>0.25</v>
      </c>
      <c r="O267" s="2">
        <f>(Sales[[#This Row],[Unit_Price]]-Sales[[#This Row],[Discount]]*Sales[[#This Row],[Unit_Price]])</f>
        <v>1412.0925</v>
      </c>
      <c r="P267" t="s">
        <v>30</v>
      </c>
      <c r="Q267" t="s">
        <v>21</v>
      </c>
      <c r="R267" t="s">
        <v>27</v>
      </c>
    </row>
    <row r="268" spans="1:18" x14ac:dyDescent="0.35">
      <c r="A268">
        <v>1020</v>
      </c>
      <c r="B268" s="1">
        <v>45270</v>
      </c>
      <c r="C268" s="1" t="str">
        <f>TEXT(Sales[[#This Row],[Sale_Date]],"YYYY")</f>
        <v>2023</v>
      </c>
      <c r="D268" s="1" t="str">
        <f>TEXT(Sales[[#This Row],[Sale_Date]],"MMMM")</f>
        <v>December</v>
      </c>
      <c r="E268" s="1" t="str">
        <f>TEXT(Sales[[#This Row],[Sale_Date]],"DDDD")</f>
        <v>Sunday</v>
      </c>
      <c r="F268" t="s">
        <v>13</v>
      </c>
      <c r="G268" t="s">
        <v>14</v>
      </c>
      <c r="H268" s="2">
        <v>9671.77</v>
      </c>
      <c r="I268">
        <v>45</v>
      </c>
      <c r="J268" t="s">
        <v>34</v>
      </c>
      <c r="K268" s="2">
        <v>4268.45</v>
      </c>
      <c r="L268" s="2">
        <v>4551.5999999999904</v>
      </c>
      <c r="M268" t="s">
        <v>29</v>
      </c>
      <c r="N268">
        <v>0.08</v>
      </c>
      <c r="O268" s="2">
        <f>(Sales[[#This Row],[Unit_Price]]-Sales[[#This Row],[Discount]]*Sales[[#This Row],[Unit_Price]])</f>
        <v>4187.4719999999907</v>
      </c>
      <c r="P268" t="s">
        <v>26</v>
      </c>
      <c r="Q268" t="s">
        <v>18</v>
      </c>
      <c r="R268" t="s">
        <v>19</v>
      </c>
    </row>
    <row r="269" spans="1:18" x14ac:dyDescent="0.35">
      <c r="A269">
        <v>1096</v>
      </c>
      <c r="B269" s="1">
        <v>45087</v>
      </c>
      <c r="C269" s="1" t="str">
        <f>TEXT(Sales[[#This Row],[Sale_Date]],"YYYY")</f>
        <v>2023</v>
      </c>
      <c r="D269" s="1" t="str">
        <f>TEXT(Sales[[#This Row],[Sale_Date]],"MMMM")</f>
        <v>June</v>
      </c>
      <c r="E269" s="1" t="str">
        <f>TEXT(Sales[[#This Row],[Sale_Date]],"DDDD")</f>
        <v>Saturday</v>
      </c>
      <c r="F269" t="s">
        <v>32</v>
      </c>
      <c r="G269" t="s">
        <v>24</v>
      </c>
      <c r="H269" s="2">
        <v>2320.5100000000002</v>
      </c>
      <c r="I269">
        <v>6</v>
      </c>
      <c r="J269" t="s">
        <v>15</v>
      </c>
      <c r="K269" s="2">
        <v>252.62</v>
      </c>
      <c r="L269" s="2">
        <v>742</v>
      </c>
      <c r="M269" t="s">
        <v>29</v>
      </c>
      <c r="N269">
        <v>0.22</v>
      </c>
      <c r="O269" s="2">
        <f>(Sales[[#This Row],[Unit_Price]]-Sales[[#This Row],[Discount]]*Sales[[#This Row],[Unit_Price]])</f>
        <v>578.76</v>
      </c>
      <c r="P269" t="s">
        <v>30</v>
      </c>
      <c r="Q269" t="s">
        <v>21</v>
      </c>
      <c r="R269" t="s">
        <v>43</v>
      </c>
    </row>
    <row r="270" spans="1:18" x14ac:dyDescent="0.35">
      <c r="A270">
        <v>1071</v>
      </c>
      <c r="B270" s="1">
        <v>45103</v>
      </c>
      <c r="C270" s="1" t="str">
        <f>TEXT(Sales[[#This Row],[Sale_Date]],"YYYY")</f>
        <v>2023</v>
      </c>
      <c r="D270" s="1" t="str">
        <f>TEXT(Sales[[#This Row],[Sale_Date]],"MMMM")</f>
        <v>June</v>
      </c>
      <c r="E270" s="1" t="str">
        <f>TEXT(Sales[[#This Row],[Sale_Date]],"DDDD")</f>
        <v>Monday</v>
      </c>
      <c r="F270" t="s">
        <v>23</v>
      </c>
      <c r="G270" t="s">
        <v>14</v>
      </c>
      <c r="H270" s="2">
        <v>6664.17</v>
      </c>
      <c r="I270">
        <v>35</v>
      </c>
      <c r="J270" t="s">
        <v>28</v>
      </c>
      <c r="K270" s="2">
        <v>295.82</v>
      </c>
      <c r="L270" s="2">
        <v>684.67</v>
      </c>
      <c r="M270" t="s">
        <v>29</v>
      </c>
      <c r="N270">
        <v>0.03</v>
      </c>
      <c r="O270" s="2">
        <f>(Sales[[#This Row],[Unit_Price]]-Sales[[#This Row],[Discount]]*Sales[[#This Row],[Unit_Price]])</f>
        <v>664.12989999999991</v>
      </c>
      <c r="P270" t="s">
        <v>30</v>
      </c>
      <c r="Q270" t="s">
        <v>18</v>
      </c>
      <c r="R270" t="s">
        <v>44</v>
      </c>
    </row>
    <row r="271" spans="1:18" x14ac:dyDescent="0.35">
      <c r="A271">
        <v>1052</v>
      </c>
      <c r="B271" s="1">
        <v>45211</v>
      </c>
      <c r="C271" s="1" t="str">
        <f>TEXT(Sales[[#This Row],[Sale_Date]],"YYYY")</f>
        <v>2023</v>
      </c>
      <c r="D271" s="1" t="str">
        <f>TEXT(Sales[[#This Row],[Sale_Date]],"MMMM")</f>
        <v>October</v>
      </c>
      <c r="E271" s="1" t="str">
        <f>TEXT(Sales[[#This Row],[Sale_Date]],"DDDD")</f>
        <v>Thursday</v>
      </c>
      <c r="F271" t="s">
        <v>23</v>
      </c>
      <c r="G271" t="s">
        <v>14</v>
      </c>
      <c r="H271" s="2">
        <v>7444.77</v>
      </c>
      <c r="I271">
        <v>46</v>
      </c>
      <c r="J271" t="s">
        <v>34</v>
      </c>
      <c r="K271" s="2">
        <v>3136.42</v>
      </c>
      <c r="L271" s="2">
        <v>3198.49</v>
      </c>
      <c r="M271" t="s">
        <v>16</v>
      </c>
      <c r="N271">
        <v>0.28999999999999998</v>
      </c>
      <c r="O271" s="2">
        <f>(Sales[[#This Row],[Unit_Price]]-Sales[[#This Row],[Discount]]*Sales[[#This Row],[Unit_Price]])</f>
        <v>2270.9278999999997</v>
      </c>
      <c r="P271" t="s">
        <v>17</v>
      </c>
      <c r="Q271" t="s">
        <v>21</v>
      </c>
      <c r="R271" t="s">
        <v>44</v>
      </c>
    </row>
    <row r="272" spans="1:18" x14ac:dyDescent="0.35">
      <c r="A272">
        <v>1033</v>
      </c>
      <c r="B272" s="1">
        <v>44989</v>
      </c>
      <c r="C272" s="1" t="str">
        <f>TEXT(Sales[[#This Row],[Sale_Date]],"YYYY")</f>
        <v>2023</v>
      </c>
      <c r="D272" s="1" t="str">
        <f>TEXT(Sales[[#This Row],[Sale_Date]],"MMMM")</f>
        <v>March</v>
      </c>
      <c r="E272" s="1" t="str">
        <f>TEXT(Sales[[#This Row],[Sale_Date]],"DDDD")</f>
        <v>Saturday</v>
      </c>
      <c r="F272" t="s">
        <v>13</v>
      </c>
      <c r="G272" t="s">
        <v>20</v>
      </c>
      <c r="H272" s="2">
        <v>8499.41</v>
      </c>
      <c r="I272">
        <v>14</v>
      </c>
      <c r="J272" t="s">
        <v>28</v>
      </c>
      <c r="K272" s="2">
        <v>362.38</v>
      </c>
      <c r="L272" s="2">
        <v>753.81</v>
      </c>
      <c r="M272" t="s">
        <v>16</v>
      </c>
      <c r="N272">
        <v>0.19</v>
      </c>
      <c r="O272" s="2">
        <f>(Sales[[#This Row],[Unit_Price]]-Sales[[#This Row],[Discount]]*Sales[[#This Row],[Unit_Price]])</f>
        <v>610.58609999999999</v>
      </c>
      <c r="P272" t="s">
        <v>17</v>
      </c>
      <c r="Q272" t="s">
        <v>21</v>
      </c>
      <c r="R272" t="s">
        <v>22</v>
      </c>
    </row>
    <row r="273" spans="1:18" x14ac:dyDescent="0.35">
      <c r="A273">
        <v>1040</v>
      </c>
      <c r="B273" s="1">
        <v>45076</v>
      </c>
      <c r="C273" s="1" t="str">
        <f>TEXT(Sales[[#This Row],[Sale_Date]],"YYYY")</f>
        <v>2023</v>
      </c>
      <c r="D273" s="1" t="str">
        <f>TEXT(Sales[[#This Row],[Sale_Date]],"MMMM")</f>
        <v>May</v>
      </c>
      <c r="E273" s="1" t="str">
        <f>TEXT(Sales[[#This Row],[Sale_Date]],"DDDD")</f>
        <v>Tuesday</v>
      </c>
      <c r="F273" t="s">
        <v>41</v>
      </c>
      <c r="G273" t="s">
        <v>24</v>
      </c>
      <c r="H273" s="2">
        <v>4284.03</v>
      </c>
      <c r="I273">
        <v>47</v>
      </c>
      <c r="J273" t="s">
        <v>28</v>
      </c>
      <c r="K273" s="2">
        <v>1656.82</v>
      </c>
      <c r="L273" s="2">
        <v>1750.3799999999901</v>
      </c>
      <c r="M273" t="s">
        <v>29</v>
      </c>
      <c r="N273">
        <v>0.21</v>
      </c>
      <c r="O273" s="2">
        <f>(Sales[[#This Row],[Unit_Price]]-Sales[[#This Row],[Discount]]*Sales[[#This Row],[Unit_Price]])</f>
        <v>1382.8001999999922</v>
      </c>
      <c r="P273" t="s">
        <v>30</v>
      </c>
      <c r="Q273" t="s">
        <v>18</v>
      </c>
      <c r="R273" t="s">
        <v>42</v>
      </c>
    </row>
    <row r="274" spans="1:18" x14ac:dyDescent="0.35">
      <c r="A274">
        <v>1039</v>
      </c>
      <c r="B274" s="1">
        <v>45080</v>
      </c>
      <c r="C274" s="1" t="str">
        <f>TEXT(Sales[[#This Row],[Sale_Date]],"YYYY")</f>
        <v>2023</v>
      </c>
      <c r="D274" s="1" t="str">
        <f>TEXT(Sales[[#This Row],[Sale_Date]],"MMMM")</f>
        <v>June</v>
      </c>
      <c r="E274" s="1" t="str">
        <f>TEXT(Sales[[#This Row],[Sale_Date]],"DDDD")</f>
        <v>Saturday</v>
      </c>
      <c r="F274" t="s">
        <v>13</v>
      </c>
      <c r="G274" t="s">
        <v>24</v>
      </c>
      <c r="H274" s="2">
        <v>3099.02</v>
      </c>
      <c r="I274">
        <v>8</v>
      </c>
      <c r="J274" t="s">
        <v>28</v>
      </c>
      <c r="K274" s="2">
        <v>3380.14</v>
      </c>
      <c r="L274" s="2">
        <v>3609.3399999999901</v>
      </c>
      <c r="M274" t="s">
        <v>16</v>
      </c>
      <c r="N274">
        <v>0.09</v>
      </c>
      <c r="O274" s="2">
        <f>(Sales[[#This Row],[Unit_Price]]-Sales[[#This Row],[Discount]]*Sales[[#This Row],[Unit_Price]])</f>
        <v>3284.4993999999911</v>
      </c>
      <c r="P274" t="s">
        <v>30</v>
      </c>
      <c r="Q274" t="s">
        <v>18</v>
      </c>
      <c r="R274" t="s">
        <v>31</v>
      </c>
    </row>
    <row r="275" spans="1:18" x14ac:dyDescent="0.35">
      <c r="A275">
        <v>1082</v>
      </c>
      <c r="B275" s="1">
        <v>45082</v>
      </c>
      <c r="C275" s="1" t="str">
        <f>TEXT(Sales[[#This Row],[Sale_Date]],"YYYY")</f>
        <v>2023</v>
      </c>
      <c r="D275" s="1" t="str">
        <f>TEXT(Sales[[#This Row],[Sale_Date]],"MMMM")</f>
        <v>June</v>
      </c>
      <c r="E275" s="1" t="str">
        <f>TEXT(Sales[[#This Row],[Sale_Date]],"DDDD")</f>
        <v>Monday</v>
      </c>
      <c r="F275" t="s">
        <v>32</v>
      </c>
      <c r="G275" t="s">
        <v>33</v>
      </c>
      <c r="H275" s="2">
        <v>3320.42</v>
      </c>
      <c r="I275">
        <v>15</v>
      </c>
      <c r="J275" t="s">
        <v>28</v>
      </c>
      <c r="K275" s="2">
        <v>1719.47</v>
      </c>
      <c r="L275" s="2">
        <v>1832.6</v>
      </c>
      <c r="M275" t="s">
        <v>16</v>
      </c>
      <c r="N275">
        <v>0.12</v>
      </c>
      <c r="O275" s="2">
        <f>(Sales[[#This Row],[Unit_Price]]-Sales[[#This Row],[Discount]]*Sales[[#This Row],[Unit_Price]])</f>
        <v>1612.6879999999999</v>
      </c>
      <c r="P275" t="s">
        <v>30</v>
      </c>
      <c r="Q275" t="s">
        <v>18</v>
      </c>
      <c r="R275" t="s">
        <v>35</v>
      </c>
    </row>
    <row r="276" spans="1:18" x14ac:dyDescent="0.35">
      <c r="A276">
        <v>1001</v>
      </c>
      <c r="B276" s="1">
        <v>44975</v>
      </c>
      <c r="C276" s="1" t="str">
        <f>TEXT(Sales[[#This Row],[Sale_Date]],"YYYY")</f>
        <v>2023</v>
      </c>
      <c r="D276" s="1" t="str">
        <f>TEXT(Sales[[#This Row],[Sale_Date]],"MMMM")</f>
        <v>February</v>
      </c>
      <c r="E276" s="1" t="str">
        <f>TEXT(Sales[[#This Row],[Sale_Date]],"DDDD")</f>
        <v>Saturday</v>
      </c>
      <c r="F276" t="s">
        <v>23</v>
      </c>
      <c r="G276" t="s">
        <v>20</v>
      </c>
      <c r="H276" s="2">
        <v>7154.95</v>
      </c>
      <c r="I276">
        <v>27</v>
      </c>
      <c r="J276" t="s">
        <v>28</v>
      </c>
      <c r="K276" s="2">
        <v>939.02</v>
      </c>
      <c r="L276" s="2">
        <v>1286.92</v>
      </c>
      <c r="M276" t="s">
        <v>16</v>
      </c>
      <c r="N276">
        <v>7.0000000000000007E-2</v>
      </c>
      <c r="O276" s="2">
        <f>(Sales[[#This Row],[Unit_Price]]-Sales[[#This Row],[Discount]]*Sales[[#This Row],[Unit_Price]])</f>
        <v>1196.8356000000001</v>
      </c>
      <c r="P276" t="s">
        <v>30</v>
      </c>
      <c r="Q276" t="s">
        <v>21</v>
      </c>
      <c r="R276" t="s">
        <v>46</v>
      </c>
    </row>
    <row r="277" spans="1:18" x14ac:dyDescent="0.35">
      <c r="A277">
        <v>1011</v>
      </c>
      <c r="B277" s="1">
        <v>45263</v>
      </c>
      <c r="C277" s="1" t="str">
        <f>TEXT(Sales[[#This Row],[Sale_Date]],"YYYY")</f>
        <v>2023</v>
      </c>
      <c r="D277" s="1" t="str">
        <f>TEXT(Sales[[#This Row],[Sale_Date]],"MMMM")</f>
        <v>December</v>
      </c>
      <c r="E277" s="1" t="str">
        <f>TEXT(Sales[[#This Row],[Sale_Date]],"DDDD")</f>
        <v>Sunday</v>
      </c>
      <c r="F277" t="s">
        <v>13</v>
      </c>
      <c r="G277" t="s">
        <v>33</v>
      </c>
      <c r="H277" s="2">
        <v>8186.12</v>
      </c>
      <c r="I277">
        <v>13</v>
      </c>
      <c r="J277" t="s">
        <v>34</v>
      </c>
      <c r="K277" s="2">
        <v>1442.69</v>
      </c>
      <c r="L277" s="2">
        <v>1882.57</v>
      </c>
      <c r="M277" t="s">
        <v>16</v>
      </c>
      <c r="N277">
        <v>0.28000000000000003</v>
      </c>
      <c r="O277" s="2">
        <f>(Sales[[#This Row],[Unit_Price]]-Sales[[#This Row],[Discount]]*Sales[[#This Row],[Unit_Price]])</f>
        <v>1355.4503999999999</v>
      </c>
      <c r="P277" t="s">
        <v>17</v>
      </c>
      <c r="Q277" t="s">
        <v>18</v>
      </c>
      <c r="R277" t="s">
        <v>45</v>
      </c>
    </row>
    <row r="278" spans="1:18" x14ac:dyDescent="0.35">
      <c r="A278">
        <v>1092</v>
      </c>
      <c r="B278" s="1">
        <v>45010</v>
      </c>
      <c r="C278" s="1" t="str">
        <f>TEXT(Sales[[#This Row],[Sale_Date]],"YYYY")</f>
        <v>2023</v>
      </c>
      <c r="D278" s="1" t="str">
        <f>TEXT(Sales[[#This Row],[Sale_Date]],"MMMM")</f>
        <v>March</v>
      </c>
      <c r="E278" s="1" t="str">
        <f>TEXT(Sales[[#This Row],[Sale_Date]],"DDDD")</f>
        <v>Saturday</v>
      </c>
      <c r="F278" t="s">
        <v>41</v>
      </c>
      <c r="G278" t="s">
        <v>20</v>
      </c>
      <c r="H278" s="2">
        <v>1897.98</v>
      </c>
      <c r="I278">
        <v>49</v>
      </c>
      <c r="J278" t="s">
        <v>15</v>
      </c>
      <c r="K278" s="2">
        <v>2315</v>
      </c>
      <c r="L278" s="2">
        <v>2467.2800000000002</v>
      </c>
      <c r="M278" t="s">
        <v>29</v>
      </c>
      <c r="N278">
        <v>0.15</v>
      </c>
      <c r="O278" s="2">
        <f>(Sales[[#This Row],[Unit_Price]]-Sales[[#This Row],[Discount]]*Sales[[#This Row],[Unit_Price]])</f>
        <v>2097.1880000000001</v>
      </c>
      <c r="P278" t="s">
        <v>26</v>
      </c>
      <c r="Q278" t="s">
        <v>21</v>
      </c>
      <c r="R278" t="s">
        <v>50</v>
      </c>
    </row>
    <row r="279" spans="1:18" x14ac:dyDescent="0.35">
      <c r="A279">
        <v>1057</v>
      </c>
      <c r="B279" s="1">
        <v>45287</v>
      </c>
      <c r="C279" s="1" t="str">
        <f>TEXT(Sales[[#This Row],[Sale_Date]],"YYYY")</f>
        <v>2023</v>
      </c>
      <c r="D279" s="1" t="str">
        <f>TEXT(Sales[[#This Row],[Sale_Date]],"MMMM")</f>
        <v>December</v>
      </c>
      <c r="E279" s="1" t="str">
        <f>TEXT(Sales[[#This Row],[Sale_Date]],"DDDD")</f>
        <v>Wednesday</v>
      </c>
      <c r="F279" t="s">
        <v>13</v>
      </c>
      <c r="G279" t="s">
        <v>24</v>
      </c>
      <c r="H279" s="2">
        <v>3772.32</v>
      </c>
      <c r="I279">
        <v>31</v>
      </c>
      <c r="J279" t="s">
        <v>15</v>
      </c>
      <c r="K279" s="2">
        <v>2403.16</v>
      </c>
      <c r="L279" s="2">
        <v>2453.35</v>
      </c>
      <c r="M279" t="s">
        <v>16</v>
      </c>
      <c r="N279">
        <v>0.19</v>
      </c>
      <c r="O279" s="2">
        <f>(Sales[[#This Row],[Unit_Price]]-Sales[[#This Row],[Discount]]*Sales[[#This Row],[Unit_Price]])</f>
        <v>1987.2134999999998</v>
      </c>
      <c r="P279" t="s">
        <v>30</v>
      </c>
      <c r="Q279" t="s">
        <v>18</v>
      </c>
      <c r="R279" t="s">
        <v>31</v>
      </c>
    </row>
    <row r="280" spans="1:18" x14ac:dyDescent="0.35">
      <c r="A280">
        <v>1089</v>
      </c>
      <c r="B280" s="1">
        <v>45103</v>
      </c>
      <c r="C280" s="1" t="str">
        <f>TEXT(Sales[[#This Row],[Sale_Date]],"YYYY")</f>
        <v>2023</v>
      </c>
      <c r="D280" s="1" t="str">
        <f>TEXT(Sales[[#This Row],[Sale_Date]],"MMMM")</f>
        <v>June</v>
      </c>
      <c r="E280" s="1" t="str">
        <f>TEXT(Sales[[#This Row],[Sale_Date]],"DDDD")</f>
        <v>Monday</v>
      </c>
      <c r="F280" t="s">
        <v>37</v>
      </c>
      <c r="G280" t="s">
        <v>14</v>
      </c>
      <c r="H280" s="2">
        <v>9029.2099999999991</v>
      </c>
      <c r="I280">
        <v>35</v>
      </c>
      <c r="J280" t="s">
        <v>15</v>
      </c>
      <c r="K280" s="2">
        <v>3925.85</v>
      </c>
      <c r="L280" s="2">
        <v>4082.1099999999901</v>
      </c>
      <c r="M280" t="s">
        <v>29</v>
      </c>
      <c r="N280">
        <v>0.22</v>
      </c>
      <c r="O280" s="2">
        <f>(Sales[[#This Row],[Unit_Price]]-Sales[[#This Row],[Discount]]*Sales[[#This Row],[Unit_Price]])</f>
        <v>3184.0457999999921</v>
      </c>
      <c r="P280" t="s">
        <v>17</v>
      </c>
      <c r="Q280" t="s">
        <v>18</v>
      </c>
      <c r="R280" t="s">
        <v>39</v>
      </c>
    </row>
    <row r="281" spans="1:18" x14ac:dyDescent="0.35">
      <c r="A281">
        <v>1050</v>
      </c>
      <c r="B281" s="1">
        <v>45074</v>
      </c>
      <c r="C281" s="1" t="str">
        <f>TEXT(Sales[[#This Row],[Sale_Date]],"YYYY")</f>
        <v>2023</v>
      </c>
      <c r="D281" s="1" t="str">
        <f>TEXT(Sales[[#This Row],[Sale_Date]],"MMMM")</f>
        <v>May</v>
      </c>
      <c r="E281" s="1" t="str">
        <f>TEXT(Sales[[#This Row],[Sale_Date]],"DDDD")</f>
        <v>Sunday</v>
      </c>
      <c r="F281" t="s">
        <v>41</v>
      </c>
      <c r="G281" t="s">
        <v>14</v>
      </c>
      <c r="H281" s="2">
        <v>8086.27</v>
      </c>
      <c r="I281">
        <v>6</v>
      </c>
      <c r="J281" t="s">
        <v>15</v>
      </c>
      <c r="K281" s="2">
        <v>3763.26</v>
      </c>
      <c r="L281" s="2">
        <v>4102.72</v>
      </c>
      <c r="M281" t="s">
        <v>29</v>
      </c>
      <c r="N281">
        <v>0.11</v>
      </c>
      <c r="O281" s="2">
        <f>(Sales[[#This Row],[Unit_Price]]-Sales[[#This Row],[Discount]]*Sales[[#This Row],[Unit_Price]])</f>
        <v>3651.4208000000003</v>
      </c>
      <c r="P281" t="s">
        <v>30</v>
      </c>
      <c r="Q281" t="s">
        <v>21</v>
      </c>
      <c r="R281" t="s">
        <v>48</v>
      </c>
    </row>
    <row r="282" spans="1:18" x14ac:dyDescent="0.35">
      <c r="A282">
        <v>1023</v>
      </c>
      <c r="B282" s="1">
        <v>45044</v>
      </c>
      <c r="C282" s="1" t="str">
        <f>TEXT(Sales[[#This Row],[Sale_Date]],"YYYY")</f>
        <v>2023</v>
      </c>
      <c r="D282" s="1" t="str">
        <f>TEXT(Sales[[#This Row],[Sale_Date]],"MMMM")</f>
        <v>April</v>
      </c>
      <c r="E282" s="1" t="str">
        <f>TEXT(Sales[[#This Row],[Sale_Date]],"DDDD")</f>
        <v>Friday</v>
      </c>
      <c r="F282" t="s">
        <v>32</v>
      </c>
      <c r="G282" t="s">
        <v>14</v>
      </c>
      <c r="H282" s="2">
        <v>9850.1</v>
      </c>
      <c r="I282">
        <v>5</v>
      </c>
      <c r="J282" t="s">
        <v>34</v>
      </c>
      <c r="K282" s="2">
        <v>2311.25</v>
      </c>
      <c r="L282" s="2">
        <v>2482.34</v>
      </c>
      <c r="M282" t="s">
        <v>16</v>
      </c>
      <c r="N282">
        <v>0.22</v>
      </c>
      <c r="O282" s="2">
        <f>(Sales[[#This Row],[Unit_Price]]-Sales[[#This Row],[Discount]]*Sales[[#This Row],[Unit_Price]])</f>
        <v>1936.2252000000001</v>
      </c>
      <c r="P282" t="s">
        <v>30</v>
      </c>
      <c r="Q282" t="s">
        <v>21</v>
      </c>
      <c r="R282" t="s">
        <v>52</v>
      </c>
    </row>
    <row r="283" spans="1:18" x14ac:dyDescent="0.35">
      <c r="A283">
        <v>1031</v>
      </c>
      <c r="B283" s="1">
        <v>45268</v>
      </c>
      <c r="C283" s="1" t="str">
        <f>TEXT(Sales[[#This Row],[Sale_Date]],"YYYY")</f>
        <v>2023</v>
      </c>
      <c r="D283" s="1" t="str">
        <f>TEXT(Sales[[#This Row],[Sale_Date]],"MMMM")</f>
        <v>December</v>
      </c>
      <c r="E283" s="1" t="str">
        <f>TEXT(Sales[[#This Row],[Sale_Date]],"DDDD")</f>
        <v>Friday</v>
      </c>
      <c r="F283" t="s">
        <v>23</v>
      </c>
      <c r="G283" t="s">
        <v>14</v>
      </c>
      <c r="H283" s="2">
        <v>7567.06</v>
      </c>
      <c r="I283">
        <v>22</v>
      </c>
      <c r="J283" t="s">
        <v>25</v>
      </c>
      <c r="K283" s="2">
        <v>4236.05</v>
      </c>
      <c r="L283" s="2">
        <v>4382.32</v>
      </c>
      <c r="M283" t="s">
        <v>29</v>
      </c>
      <c r="N283">
        <v>0.2</v>
      </c>
      <c r="O283" s="2">
        <f>(Sales[[#This Row],[Unit_Price]]-Sales[[#This Row],[Discount]]*Sales[[#This Row],[Unit_Price]])</f>
        <v>3505.8559999999998</v>
      </c>
      <c r="P283" t="s">
        <v>26</v>
      </c>
      <c r="Q283" t="s">
        <v>18</v>
      </c>
      <c r="R283" t="s">
        <v>44</v>
      </c>
    </row>
    <row r="284" spans="1:18" x14ac:dyDescent="0.35">
      <c r="A284">
        <v>1094</v>
      </c>
      <c r="B284" s="1">
        <v>44989</v>
      </c>
      <c r="C284" s="1" t="str">
        <f>TEXT(Sales[[#This Row],[Sale_Date]],"YYYY")</f>
        <v>2023</v>
      </c>
      <c r="D284" s="1" t="str">
        <f>TEXT(Sales[[#This Row],[Sale_Date]],"MMMM")</f>
        <v>March</v>
      </c>
      <c r="E284" s="1" t="str">
        <f>TEXT(Sales[[#This Row],[Sale_Date]],"DDDD")</f>
        <v>Saturday</v>
      </c>
      <c r="F284" t="s">
        <v>13</v>
      </c>
      <c r="G284" t="s">
        <v>14</v>
      </c>
      <c r="H284" s="2">
        <v>3992.63</v>
      </c>
      <c r="I284">
        <v>49</v>
      </c>
      <c r="J284" t="s">
        <v>25</v>
      </c>
      <c r="K284" s="2">
        <v>615.47</v>
      </c>
      <c r="L284" s="2">
        <v>715.84</v>
      </c>
      <c r="M284" t="s">
        <v>16</v>
      </c>
      <c r="N284">
        <v>0.21</v>
      </c>
      <c r="O284" s="2">
        <f>(Sales[[#This Row],[Unit_Price]]-Sales[[#This Row],[Discount]]*Sales[[#This Row],[Unit_Price]])</f>
        <v>565.5136</v>
      </c>
      <c r="P284" t="s">
        <v>30</v>
      </c>
      <c r="Q284" t="s">
        <v>21</v>
      </c>
      <c r="R284" t="s">
        <v>19</v>
      </c>
    </row>
    <row r="285" spans="1:18" x14ac:dyDescent="0.35">
      <c r="A285">
        <v>1042</v>
      </c>
      <c r="B285" s="1">
        <v>45115</v>
      </c>
      <c r="C285" s="1" t="str">
        <f>TEXT(Sales[[#This Row],[Sale_Date]],"YYYY")</f>
        <v>2023</v>
      </c>
      <c r="D285" s="1" t="str">
        <f>TEXT(Sales[[#This Row],[Sale_Date]],"MMMM")</f>
        <v>July</v>
      </c>
      <c r="E285" s="1" t="str">
        <f>TEXT(Sales[[#This Row],[Sale_Date]],"DDDD")</f>
        <v>Saturday</v>
      </c>
      <c r="F285" t="s">
        <v>41</v>
      </c>
      <c r="G285" t="s">
        <v>33</v>
      </c>
      <c r="H285" s="2">
        <v>5947.31</v>
      </c>
      <c r="I285">
        <v>23</v>
      </c>
      <c r="J285" t="s">
        <v>34</v>
      </c>
      <c r="K285" s="2">
        <v>1314</v>
      </c>
      <c r="L285" s="2">
        <v>1567.78</v>
      </c>
      <c r="M285" t="s">
        <v>16</v>
      </c>
      <c r="N285">
        <v>0.15</v>
      </c>
      <c r="O285" s="2">
        <f>(Sales[[#This Row],[Unit_Price]]-Sales[[#This Row],[Discount]]*Sales[[#This Row],[Unit_Price]])</f>
        <v>1332.6130000000001</v>
      </c>
      <c r="P285" t="s">
        <v>30</v>
      </c>
      <c r="Q285" t="s">
        <v>21</v>
      </c>
      <c r="R285" t="s">
        <v>51</v>
      </c>
    </row>
    <row r="286" spans="1:18" x14ac:dyDescent="0.35">
      <c r="A286">
        <v>1099</v>
      </c>
      <c r="B286" s="1">
        <v>45286</v>
      </c>
      <c r="C286" s="1" t="str">
        <f>TEXT(Sales[[#This Row],[Sale_Date]],"YYYY")</f>
        <v>2023</v>
      </c>
      <c r="D286" s="1" t="str">
        <f>TEXT(Sales[[#This Row],[Sale_Date]],"MMMM")</f>
        <v>December</v>
      </c>
      <c r="E286" s="1" t="str">
        <f>TEXT(Sales[[#This Row],[Sale_Date]],"DDDD")</f>
        <v>Tuesday</v>
      </c>
      <c r="F286" t="s">
        <v>37</v>
      </c>
      <c r="G286" t="s">
        <v>20</v>
      </c>
      <c r="H286" s="2">
        <v>6644.04</v>
      </c>
      <c r="I286">
        <v>25</v>
      </c>
      <c r="J286" t="s">
        <v>34</v>
      </c>
      <c r="K286" s="2">
        <v>4148.4799999999996</v>
      </c>
      <c r="L286" s="2">
        <v>4293.6899999999996</v>
      </c>
      <c r="M286" t="s">
        <v>29</v>
      </c>
      <c r="N286">
        <v>0.11</v>
      </c>
      <c r="O286" s="2">
        <f>(Sales[[#This Row],[Unit_Price]]-Sales[[#This Row],[Discount]]*Sales[[#This Row],[Unit_Price]])</f>
        <v>3821.3840999999998</v>
      </c>
      <c r="P286" t="s">
        <v>26</v>
      </c>
      <c r="Q286" t="s">
        <v>18</v>
      </c>
      <c r="R286" t="s">
        <v>40</v>
      </c>
    </row>
    <row r="287" spans="1:18" x14ac:dyDescent="0.35">
      <c r="A287">
        <v>1007</v>
      </c>
      <c r="B287" s="1">
        <v>44975</v>
      </c>
      <c r="C287" s="1" t="str">
        <f>TEXT(Sales[[#This Row],[Sale_Date]],"YYYY")</f>
        <v>2023</v>
      </c>
      <c r="D287" s="1" t="str">
        <f>TEXT(Sales[[#This Row],[Sale_Date]],"MMMM")</f>
        <v>February</v>
      </c>
      <c r="E287" s="1" t="str">
        <f>TEXT(Sales[[#This Row],[Sale_Date]],"DDDD")</f>
        <v>Saturday</v>
      </c>
      <c r="F287" t="s">
        <v>41</v>
      </c>
      <c r="G287" t="s">
        <v>24</v>
      </c>
      <c r="H287" s="2">
        <v>876.71</v>
      </c>
      <c r="I287">
        <v>34</v>
      </c>
      <c r="J287" t="s">
        <v>28</v>
      </c>
      <c r="K287" s="2">
        <v>1921.07</v>
      </c>
      <c r="L287" s="2">
        <v>2289.27</v>
      </c>
      <c r="M287" t="s">
        <v>16</v>
      </c>
      <c r="N287">
        <v>7.0000000000000007E-2</v>
      </c>
      <c r="O287" s="2">
        <f>(Sales[[#This Row],[Unit_Price]]-Sales[[#This Row],[Discount]]*Sales[[#This Row],[Unit_Price]])</f>
        <v>2129.0210999999999</v>
      </c>
      <c r="P287" t="s">
        <v>26</v>
      </c>
      <c r="Q287" t="s">
        <v>21</v>
      </c>
      <c r="R287" t="s">
        <v>42</v>
      </c>
    </row>
    <row r="288" spans="1:18" x14ac:dyDescent="0.35">
      <c r="A288">
        <v>1016</v>
      </c>
      <c r="B288" s="1">
        <v>45253</v>
      </c>
      <c r="C288" s="1" t="str">
        <f>TEXT(Sales[[#This Row],[Sale_Date]],"YYYY")</f>
        <v>2023</v>
      </c>
      <c r="D288" s="1" t="str">
        <f>TEXT(Sales[[#This Row],[Sale_Date]],"MMMM")</f>
        <v>November</v>
      </c>
      <c r="E288" s="1" t="str">
        <f>TEXT(Sales[[#This Row],[Sale_Date]],"DDDD")</f>
        <v>Thursday</v>
      </c>
      <c r="F288" t="s">
        <v>37</v>
      </c>
      <c r="G288" t="s">
        <v>33</v>
      </c>
      <c r="H288" s="2">
        <v>5490.52</v>
      </c>
      <c r="I288">
        <v>26</v>
      </c>
      <c r="J288" t="s">
        <v>28</v>
      </c>
      <c r="K288" s="2">
        <v>4906.8500000000004</v>
      </c>
      <c r="L288" s="2">
        <v>4954.3900000000003</v>
      </c>
      <c r="M288" t="s">
        <v>29</v>
      </c>
      <c r="N288">
        <v>0.25</v>
      </c>
      <c r="O288" s="2">
        <f>(Sales[[#This Row],[Unit_Price]]-Sales[[#This Row],[Discount]]*Sales[[#This Row],[Unit_Price]])</f>
        <v>3715.7925000000005</v>
      </c>
      <c r="P288" t="s">
        <v>26</v>
      </c>
      <c r="Q288" t="s">
        <v>18</v>
      </c>
      <c r="R288" t="s">
        <v>47</v>
      </c>
    </row>
    <row r="289" spans="1:18" x14ac:dyDescent="0.35">
      <c r="A289">
        <v>1090</v>
      </c>
      <c r="B289" s="1">
        <v>45183</v>
      </c>
      <c r="C289" s="1" t="str">
        <f>TEXT(Sales[[#This Row],[Sale_Date]],"YYYY")</f>
        <v>2023</v>
      </c>
      <c r="D289" s="1" t="str">
        <f>TEXT(Sales[[#This Row],[Sale_Date]],"MMMM")</f>
        <v>September</v>
      </c>
      <c r="E289" s="1" t="str">
        <f>TEXT(Sales[[#This Row],[Sale_Date]],"DDDD")</f>
        <v>Thursday</v>
      </c>
      <c r="F289" t="s">
        <v>32</v>
      </c>
      <c r="G289" t="s">
        <v>20</v>
      </c>
      <c r="H289" s="2">
        <v>7122.28</v>
      </c>
      <c r="I289">
        <v>47</v>
      </c>
      <c r="J289" t="s">
        <v>28</v>
      </c>
      <c r="K289" s="2">
        <v>2357.9499999999998</v>
      </c>
      <c r="L289" s="2">
        <v>2693.33</v>
      </c>
      <c r="M289" t="s">
        <v>29</v>
      </c>
      <c r="N289">
        <v>0.18</v>
      </c>
      <c r="O289" s="2">
        <f>(Sales[[#This Row],[Unit_Price]]-Sales[[#This Row],[Discount]]*Sales[[#This Row],[Unit_Price]])</f>
        <v>2208.5306</v>
      </c>
      <c r="P289" t="s">
        <v>26</v>
      </c>
      <c r="Q289" t="s">
        <v>18</v>
      </c>
      <c r="R289" t="s">
        <v>36</v>
      </c>
    </row>
    <row r="290" spans="1:18" x14ac:dyDescent="0.35">
      <c r="A290">
        <v>1060</v>
      </c>
      <c r="B290" s="1">
        <v>45150</v>
      </c>
      <c r="C290" s="1" t="str">
        <f>TEXT(Sales[[#This Row],[Sale_Date]],"YYYY")</f>
        <v>2023</v>
      </c>
      <c r="D290" s="1" t="str">
        <f>TEXT(Sales[[#This Row],[Sale_Date]],"MMMM")</f>
        <v>August</v>
      </c>
      <c r="E290" s="1" t="str">
        <f>TEXT(Sales[[#This Row],[Sale_Date]],"DDDD")</f>
        <v>Saturday</v>
      </c>
      <c r="F290" t="s">
        <v>23</v>
      </c>
      <c r="G290" t="s">
        <v>14</v>
      </c>
      <c r="H290" s="2">
        <v>1756.48</v>
      </c>
      <c r="I290">
        <v>5</v>
      </c>
      <c r="J290" t="s">
        <v>15</v>
      </c>
      <c r="K290" s="2">
        <v>3970.08</v>
      </c>
      <c r="L290" s="2">
        <v>4096.4799999999996</v>
      </c>
      <c r="M290" t="s">
        <v>16</v>
      </c>
      <c r="N290">
        <v>0.13</v>
      </c>
      <c r="O290" s="2">
        <f>(Sales[[#This Row],[Unit_Price]]-Sales[[#This Row],[Discount]]*Sales[[#This Row],[Unit_Price]])</f>
        <v>3563.9375999999997</v>
      </c>
      <c r="P290" t="s">
        <v>17</v>
      </c>
      <c r="Q290" t="s">
        <v>21</v>
      </c>
      <c r="R290" t="s">
        <v>44</v>
      </c>
    </row>
    <row r="291" spans="1:18" x14ac:dyDescent="0.35">
      <c r="A291">
        <v>1002</v>
      </c>
      <c r="B291" s="1">
        <v>45067</v>
      </c>
      <c r="C291" s="1" t="str">
        <f>TEXT(Sales[[#This Row],[Sale_Date]],"YYYY")</f>
        <v>2023</v>
      </c>
      <c r="D291" s="1" t="str">
        <f>TEXT(Sales[[#This Row],[Sale_Date]],"MMMM")</f>
        <v>May</v>
      </c>
      <c r="E291" s="1" t="str">
        <f>TEXT(Sales[[#This Row],[Sale_Date]],"DDDD")</f>
        <v>Sunday</v>
      </c>
      <c r="F291" t="s">
        <v>32</v>
      </c>
      <c r="G291" t="s">
        <v>20</v>
      </c>
      <c r="H291" s="2">
        <v>7828.25</v>
      </c>
      <c r="I291">
        <v>26</v>
      </c>
      <c r="J291" t="s">
        <v>28</v>
      </c>
      <c r="K291" s="2">
        <v>2041.42</v>
      </c>
      <c r="L291" s="2">
        <v>2291.17</v>
      </c>
      <c r="M291" t="s">
        <v>16</v>
      </c>
      <c r="N291">
        <v>0.28000000000000003</v>
      </c>
      <c r="O291" s="2">
        <f>(Sales[[#This Row],[Unit_Price]]-Sales[[#This Row],[Discount]]*Sales[[#This Row],[Unit_Price]])</f>
        <v>1649.6424</v>
      </c>
      <c r="P291" t="s">
        <v>17</v>
      </c>
      <c r="Q291" t="s">
        <v>18</v>
      </c>
      <c r="R291" t="s">
        <v>36</v>
      </c>
    </row>
    <row r="292" spans="1:18" x14ac:dyDescent="0.35">
      <c r="A292">
        <v>1001</v>
      </c>
      <c r="B292" s="1">
        <v>45141</v>
      </c>
      <c r="C292" s="1" t="str">
        <f>TEXT(Sales[[#This Row],[Sale_Date]],"YYYY")</f>
        <v>2023</v>
      </c>
      <c r="D292" s="1" t="str">
        <f>TEXT(Sales[[#This Row],[Sale_Date]],"MMMM")</f>
        <v>August</v>
      </c>
      <c r="E292" s="1" t="str">
        <f>TEXT(Sales[[#This Row],[Sale_Date]],"DDDD")</f>
        <v>Thursday</v>
      </c>
      <c r="F292" t="s">
        <v>13</v>
      </c>
      <c r="G292" t="s">
        <v>20</v>
      </c>
      <c r="H292" s="2">
        <v>5879.35</v>
      </c>
      <c r="I292">
        <v>20</v>
      </c>
      <c r="J292" t="s">
        <v>25</v>
      </c>
      <c r="K292" s="2">
        <v>2153.52</v>
      </c>
      <c r="L292" s="2">
        <v>2303.6999999999998</v>
      </c>
      <c r="M292" t="s">
        <v>16</v>
      </c>
      <c r="N292">
        <v>0.01</v>
      </c>
      <c r="O292" s="2">
        <f>(Sales[[#This Row],[Unit_Price]]-Sales[[#This Row],[Discount]]*Sales[[#This Row],[Unit_Price]])</f>
        <v>2280.663</v>
      </c>
      <c r="P292" t="s">
        <v>17</v>
      </c>
      <c r="Q292" t="s">
        <v>21</v>
      </c>
      <c r="R292" t="s">
        <v>22</v>
      </c>
    </row>
    <row r="293" spans="1:18" x14ac:dyDescent="0.35">
      <c r="A293">
        <v>1048</v>
      </c>
      <c r="B293" s="1">
        <v>45137</v>
      </c>
      <c r="C293" s="1" t="str">
        <f>TEXT(Sales[[#This Row],[Sale_Date]],"YYYY")</f>
        <v>2023</v>
      </c>
      <c r="D293" s="1" t="str">
        <f>TEXT(Sales[[#This Row],[Sale_Date]],"MMMM")</f>
        <v>July</v>
      </c>
      <c r="E293" s="1" t="str">
        <f>TEXT(Sales[[#This Row],[Sale_Date]],"DDDD")</f>
        <v>Sunday</v>
      </c>
      <c r="F293" t="s">
        <v>41</v>
      </c>
      <c r="G293" t="s">
        <v>14</v>
      </c>
      <c r="H293" s="2">
        <v>9527</v>
      </c>
      <c r="I293">
        <v>6</v>
      </c>
      <c r="J293" t="s">
        <v>15</v>
      </c>
      <c r="K293" s="2">
        <v>1945.27</v>
      </c>
      <c r="L293" s="2">
        <v>2309.4299999999998</v>
      </c>
      <c r="M293" t="s">
        <v>29</v>
      </c>
      <c r="N293">
        <v>0.26</v>
      </c>
      <c r="O293" s="2">
        <f>(Sales[[#This Row],[Unit_Price]]-Sales[[#This Row],[Discount]]*Sales[[#This Row],[Unit_Price]])</f>
        <v>1708.9782</v>
      </c>
      <c r="P293" t="s">
        <v>30</v>
      </c>
      <c r="Q293" t="s">
        <v>18</v>
      </c>
      <c r="R293" t="s">
        <v>48</v>
      </c>
    </row>
    <row r="294" spans="1:18" x14ac:dyDescent="0.35">
      <c r="A294">
        <v>1012</v>
      </c>
      <c r="B294" s="1">
        <v>45244</v>
      </c>
      <c r="C294" s="1" t="str">
        <f>TEXT(Sales[[#This Row],[Sale_Date]],"YYYY")</f>
        <v>2023</v>
      </c>
      <c r="D294" s="1" t="str">
        <f>TEXT(Sales[[#This Row],[Sale_Date]],"MMMM")</f>
        <v>November</v>
      </c>
      <c r="E294" s="1" t="str">
        <f>TEXT(Sales[[#This Row],[Sale_Date]],"DDDD")</f>
        <v>Tuesday</v>
      </c>
      <c r="F294" t="s">
        <v>37</v>
      </c>
      <c r="G294" t="s">
        <v>14</v>
      </c>
      <c r="H294" s="2">
        <v>519.98</v>
      </c>
      <c r="I294">
        <v>6</v>
      </c>
      <c r="J294" t="s">
        <v>28</v>
      </c>
      <c r="K294" s="2">
        <v>3609.42</v>
      </c>
      <c r="L294" s="2">
        <v>4082.62</v>
      </c>
      <c r="M294" t="s">
        <v>16</v>
      </c>
      <c r="N294">
        <v>0.3</v>
      </c>
      <c r="O294" s="2">
        <f>(Sales[[#This Row],[Unit_Price]]-Sales[[#This Row],[Discount]]*Sales[[#This Row],[Unit_Price]])</f>
        <v>2857.8339999999998</v>
      </c>
      <c r="P294" t="s">
        <v>26</v>
      </c>
      <c r="Q294" t="s">
        <v>21</v>
      </c>
      <c r="R294" t="s">
        <v>39</v>
      </c>
    </row>
    <row r="295" spans="1:18" x14ac:dyDescent="0.35">
      <c r="A295">
        <v>1069</v>
      </c>
      <c r="B295" s="1">
        <v>44958</v>
      </c>
      <c r="C295" s="1" t="str">
        <f>TEXT(Sales[[#This Row],[Sale_Date]],"YYYY")</f>
        <v>2023</v>
      </c>
      <c r="D295" s="1" t="str">
        <f>TEXT(Sales[[#This Row],[Sale_Date]],"MMMM")</f>
        <v>February</v>
      </c>
      <c r="E295" s="1" t="str">
        <f>TEXT(Sales[[#This Row],[Sale_Date]],"DDDD")</f>
        <v>Wednesday</v>
      </c>
      <c r="F295" t="s">
        <v>37</v>
      </c>
      <c r="G295" t="s">
        <v>14</v>
      </c>
      <c r="H295" s="2">
        <v>2726.73</v>
      </c>
      <c r="I295">
        <v>18</v>
      </c>
      <c r="J295" t="s">
        <v>15</v>
      </c>
      <c r="K295" s="2">
        <v>2760.21</v>
      </c>
      <c r="L295" s="2">
        <v>3219.58</v>
      </c>
      <c r="M295" t="s">
        <v>29</v>
      </c>
      <c r="N295">
        <v>0.27</v>
      </c>
      <c r="O295" s="2">
        <f>(Sales[[#This Row],[Unit_Price]]-Sales[[#This Row],[Discount]]*Sales[[#This Row],[Unit_Price]])</f>
        <v>2350.2934</v>
      </c>
      <c r="P295" t="s">
        <v>26</v>
      </c>
      <c r="Q295" t="s">
        <v>21</v>
      </c>
      <c r="R295" t="s">
        <v>39</v>
      </c>
    </row>
    <row r="296" spans="1:18" x14ac:dyDescent="0.35">
      <c r="A296">
        <v>1037</v>
      </c>
      <c r="B296" s="1">
        <v>45084</v>
      </c>
      <c r="C296" s="1" t="str">
        <f>TEXT(Sales[[#This Row],[Sale_Date]],"YYYY")</f>
        <v>2023</v>
      </c>
      <c r="D296" s="1" t="str">
        <f>TEXT(Sales[[#This Row],[Sale_Date]],"MMMM")</f>
        <v>June</v>
      </c>
      <c r="E296" s="1" t="str">
        <f>TEXT(Sales[[#This Row],[Sale_Date]],"DDDD")</f>
        <v>Wednesday</v>
      </c>
      <c r="F296" t="s">
        <v>41</v>
      </c>
      <c r="G296" t="s">
        <v>24</v>
      </c>
      <c r="H296" s="2">
        <v>6055.38</v>
      </c>
      <c r="I296">
        <v>4</v>
      </c>
      <c r="J296" t="s">
        <v>25</v>
      </c>
      <c r="K296" s="2">
        <v>4721.7</v>
      </c>
      <c r="L296" s="2">
        <v>5017.58</v>
      </c>
      <c r="M296" t="s">
        <v>29</v>
      </c>
      <c r="N296">
        <v>0.24</v>
      </c>
      <c r="O296" s="2">
        <f>(Sales[[#This Row],[Unit_Price]]-Sales[[#This Row],[Discount]]*Sales[[#This Row],[Unit_Price]])</f>
        <v>3813.3607999999999</v>
      </c>
      <c r="P296" t="s">
        <v>17</v>
      </c>
      <c r="Q296" t="s">
        <v>21</v>
      </c>
      <c r="R296" t="s">
        <v>42</v>
      </c>
    </row>
    <row r="297" spans="1:18" x14ac:dyDescent="0.35">
      <c r="A297">
        <v>1032</v>
      </c>
      <c r="B297" s="1">
        <v>45211</v>
      </c>
      <c r="C297" s="1" t="str">
        <f>TEXT(Sales[[#This Row],[Sale_Date]],"YYYY")</f>
        <v>2023</v>
      </c>
      <c r="D297" s="1" t="str">
        <f>TEXT(Sales[[#This Row],[Sale_Date]],"MMMM")</f>
        <v>October</v>
      </c>
      <c r="E297" s="1" t="str">
        <f>TEXT(Sales[[#This Row],[Sale_Date]],"DDDD")</f>
        <v>Thursday</v>
      </c>
      <c r="F297" t="s">
        <v>41</v>
      </c>
      <c r="G297" t="s">
        <v>14</v>
      </c>
      <c r="H297" s="2">
        <v>3035.94</v>
      </c>
      <c r="I297">
        <v>17</v>
      </c>
      <c r="J297" t="s">
        <v>28</v>
      </c>
      <c r="K297" s="2">
        <v>1291.9100000000001</v>
      </c>
      <c r="L297" s="2">
        <v>1528.59</v>
      </c>
      <c r="M297" t="s">
        <v>16</v>
      </c>
      <c r="N297">
        <v>0.11</v>
      </c>
      <c r="O297" s="2">
        <f>(Sales[[#This Row],[Unit_Price]]-Sales[[#This Row],[Discount]]*Sales[[#This Row],[Unit_Price]])</f>
        <v>1360.4450999999999</v>
      </c>
      <c r="P297" t="s">
        <v>30</v>
      </c>
      <c r="Q297" t="s">
        <v>21</v>
      </c>
      <c r="R297" t="s">
        <v>48</v>
      </c>
    </row>
    <row r="298" spans="1:18" x14ac:dyDescent="0.35">
      <c r="A298">
        <v>1009</v>
      </c>
      <c r="B298" s="1">
        <v>45231</v>
      </c>
      <c r="C298" s="1" t="str">
        <f>TEXT(Sales[[#This Row],[Sale_Date]],"YYYY")</f>
        <v>2023</v>
      </c>
      <c r="D298" s="1" t="str">
        <f>TEXT(Sales[[#This Row],[Sale_Date]],"MMMM")</f>
        <v>November</v>
      </c>
      <c r="E298" s="1" t="str">
        <f>TEXT(Sales[[#This Row],[Sale_Date]],"DDDD")</f>
        <v>Wednesday</v>
      </c>
      <c r="F298" t="s">
        <v>13</v>
      </c>
      <c r="G298" t="s">
        <v>24</v>
      </c>
      <c r="H298" s="2">
        <v>7172.8</v>
      </c>
      <c r="I298">
        <v>14</v>
      </c>
      <c r="J298" t="s">
        <v>25</v>
      </c>
      <c r="K298" s="2">
        <v>547.79</v>
      </c>
      <c r="L298" s="2">
        <v>958.76</v>
      </c>
      <c r="M298" t="s">
        <v>16</v>
      </c>
      <c r="N298">
        <v>7.0000000000000007E-2</v>
      </c>
      <c r="O298" s="2">
        <f>(Sales[[#This Row],[Unit_Price]]-Sales[[#This Row],[Discount]]*Sales[[#This Row],[Unit_Price]])</f>
        <v>891.64679999999998</v>
      </c>
      <c r="P298" t="s">
        <v>30</v>
      </c>
      <c r="Q298" t="s">
        <v>21</v>
      </c>
      <c r="R298" t="s">
        <v>31</v>
      </c>
    </row>
    <row r="299" spans="1:18" x14ac:dyDescent="0.35">
      <c r="A299">
        <v>1099</v>
      </c>
      <c r="B299" s="1">
        <v>45212</v>
      </c>
      <c r="C299" s="1" t="str">
        <f>TEXT(Sales[[#This Row],[Sale_Date]],"YYYY")</f>
        <v>2023</v>
      </c>
      <c r="D299" s="1" t="str">
        <f>TEXT(Sales[[#This Row],[Sale_Date]],"MMMM")</f>
        <v>October</v>
      </c>
      <c r="E299" s="1" t="str">
        <f>TEXT(Sales[[#This Row],[Sale_Date]],"DDDD")</f>
        <v>Friday</v>
      </c>
      <c r="F299" t="s">
        <v>32</v>
      </c>
      <c r="G299" t="s">
        <v>14</v>
      </c>
      <c r="H299" s="2">
        <v>7614.15</v>
      </c>
      <c r="I299">
        <v>14</v>
      </c>
      <c r="J299" t="s">
        <v>25</v>
      </c>
      <c r="K299" s="2">
        <v>1996.64</v>
      </c>
      <c r="L299" s="2">
        <v>2341.4699999999998</v>
      </c>
      <c r="M299" t="s">
        <v>16</v>
      </c>
      <c r="N299">
        <v>0.22</v>
      </c>
      <c r="O299" s="2">
        <f>(Sales[[#This Row],[Unit_Price]]-Sales[[#This Row],[Discount]]*Sales[[#This Row],[Unit_Price]])</f>
        <v>1826.3465999999999</v>
      </c>
      <c r="P299" t="s">
        <v>30</v>
      </c>
      <c r="Q299" t="s">
        <v>18</v>
      </c>
      <c r="R299" t="s">
        <v>52</v>
      </c>
    </row>
    <row r="300" spans="1:18" x14ac:dyDescent="0.35">
      <c r="A300">
        <v>1019</v>
      </c>
      <c r="B300" s="1">
        <v>45070</v>
      </c>
      <c r="C300" s="1" t="str">
        <f>TEXT(Sales[[#This Row],[Sale_Date]],"YYYY")</f>
        <v>2023</v>
      </c>
      <c r="D300" s="1" t="str">
        <f>TEXT(Sales[[#This Row],[Sale_Date]],"MMMM")</f>
        <v>May</v>
      </c>
      <c r="E300" s="1" t="str">
        <f>TEXT(Sales[[#This Row],[Sale_Date]],"DDDD")</f>
        <v>Wednesday</v>
      </c>
      <c r="F300" t="s">
        <v>37</v>
      </c>
      <c r="G300" t="s">
        <v>24</v>
      </c>
      <c r="H300" s="2">
        <v>1114.9100000000001</v>
      </c>
      <c r="I300">
        <v>13</v>
      </c>
      <c r="J300" t="s">
        <v>25</v>
      </c>
      <c r="K300" s="2">
        <v>3102.73</v>
      </c>
      <c r="L300" s="2">
        <v>3202.68</v>
      </c>
      <c r="M300" t="s">
        <v>29</v>
      </c>
      <c r="N300">
        <v>0.09</v>
      </c>
      <c r="O300" s="2">
        <f>(Sales[[#This Row],[Unit_Price]]-Sales[[#This Row],[Discount]]*Sales[[#This Row],[Unit_Price]])</f>
        <v>2914.4387999999999</v>
      </c>
      <c r="P300" t="s">
        <v>17</v>
      </c>
      <c r="Q300" t="s">
        <v>18</v>
      </c>
      <c r="R300" t="s">
        <v>38</v>
      </c>
    </row>
    <row r="301" spans="1:18" x14ac:dyDescent="0.35">
      <c r="A301">
        <v>1048</v>
      </c>
      <c r="B301" s="1">
        <v>44945</v>
      </c>
      <c r="C301" s="1" t="str">
        <f>TEXT(Sales[[#This Row],[Sale_Date]],"YYYY")</f>
        <v>2023</v>
      </c>
      <c r="D301" s="1" t="str">
        <f>TEXT(Sales[[#This Row],[Sale_Date]],"MMMM")</f>
        <v>January</v>
      </c>
      <c r="E301" s="1" t="str">
        <f>TEXT(Sales[[#This Row],[Sale_Date]],"DDDD")</f>
        <v>Thursday</v>
      </c>
      <c r="F301" t="s">
        <v>13</v>
      </c>
      <c r="G301" t="s">
        <v>20</v>
      </c>
      <c r="H301" s="2">
        <v>5187.16</v>
      </c>
      <c r="I301">
        <v>7</v>
      </c>
      <c r="J301" t="s">
        <v>28</v>
      </c>
      <c r="K301" s="2">
        <v>4310.95</v>
      </c>
      <c r="L301" s="2">
        <v>4723.2</v>
      </c>
      <c r="M301" t="s">
        <v>16</v>
      </c>
      <c r="N301">
        <v>0.05</v>
      </c>
      <c r="O301" s="2">
        <f>(Sales[[#This Row],[Unit_Price]]-Sales[[#This Row],[Discount]]*Sales[[#This Row],[Unit_Price]])</f>
        <v>4487.04</v>
      </c>
      <c r="P301" t="s">
        <v>30</v>
      </c>
      <c r="Q301" t="s">
        <v>21</v>
      </c>
      <c r="R301" t="s">
        <v>22</v>
      </c>
    </row>
    <row r="302" spans="1:18" x14ac:dyDescent="0.35">
      <c r="A302">
        <v>1080</v>
      </c>
      <c r="B302" s="1">
        <v>44944</v>
      </c>
      <c r="C302" s="1" t="str">
        <f>TEXT(Sales[[#This Row],[Sale_Date]],"YYYY")</f>
        <v>2023</v>
      </c>
      <c r="D302" s="1" t="str">
        <f>TEXT(Sales[[#This Row],[Sale_Date]],"MMMM")</f>
        <v>January</v>
      </c>
      <c r="E302" s="1" t="str">
        <f>TEXT(Sales[[#This Row],[Sale_Date]],"DDDD")</f>
        <v>Wednesday</v>
      </c>
      <c r="F302" t="s">
        <v>32</v>
      </c>
      <c r="G302" t="s">
        <v>33</v>
      </c>
      <c r="H302" s="2">
        <v>5138.0200000000004</v>
      </c>
      <c r="I302">
        <v>44</v>
      </c>
      <c r="J302" t="s">
        <v>34</v>
      </c>
      <c r="K302" s="2">
        <v>1763.67</v>
      </c>
      <c r="L302" s="2">
        <v>1983.82</v>
      </c>
      <c r="M302" t="s">
        <v>29</v>
      </c>
      <c r="N302">
        <v>0.24</v>
      </c>
      <c r="O302" s="2">
        <f>(Sales[[#This Row],[Unit_Price]]-Sales[[#This Row],[Discount]]*Sales[[#This Row],[Unit_Price]])</f>
        <v>1507.7031999999999</v>
      </c>
      <c r="P302" t="s">
        <v>30</v>
      </c>
      <c r="Q302" t="s">
        <v>18</v>
      </c>
      <c r="R302" t="s">
        <v>35</v>
      </c>
    </row>
    <row r="303" spans="1:18" x14ac:dyDescent="0.35">
      <c r="A303">
        <v>1003</v>
      </c>
      <c r="B303" s="1">
        <v>45183</v>
      </c>
      <c r="C303" s="1" t="str">
        <f>TEXT(Sales[[#This Row],[Sale_Date]],"YYYY")</f>
        <v>2023</v>
      </c>
      <c r="D303" s="1" t="str">
        <f>TEXT(Sales[[#This Row],[Sale_Date]],"MMMM")</f>
        <v>September</v>
      </c>
      <c r="E303" s="1" t="str">
        <f>TEXT(Sales[[#This Row],[Sale_Date]],"DDDD")</f>
        <v>Thursday</v>
      </c>
      <c r="F303" t="s">
        <v>13</v>
      </c>
      <c r="G303" t="s">
        <v>20</v>
      </c>
      <c r="H303" s="2">
        <v>3755.88</v>
      </c>
      <c r="I303">
        <v>15</v>
      </c>
      <c r="J303" t="s">
        <v>28</v>
      </c>
      <c r="K303" s="2">
        <v>3286.24</v>
      </c>
      <c r="L303" s="2">
        <v>3388.8399999999901</v>
      </c>
      <c r="M303" t="s">
        <v>16</v>
      </c>
      <c r="N303">
        <v>0.09</v>
      </c>
      <c r="O303" s="2">
        <f>(Sales[[#This Row],[Unit_Price]]-Sales[[#This Row],[Discount]]*Sales[[#This Row],[Unit_Price]])</f>
        <v>3083.8443999999909</v>
      </c>
      <c r="P303" t="s">
        <v>30</v>
      </c>
      <c r="Q303" t="s">
        <v>21</v>
      </c>
      <c r="R303" t="s">
        <v>22</v>
      </c>
    </row>
    <row r="304" spans="1:18" x14ac:dyDescent="0.35">
      <c r="A304">
        <v>1020</v>
      </c>
      <c r="B304" s="1">
        <v>45004</v>
      </c>
      <c r="C304" s="1" t="str">
        <f>TEXT(Sales[[#This Row],[Sale_Date]],"YYYY")</f>
        <v>2023</v>
      </c>
      <c r="D304" s="1" t="str">
        <f>TEXT(Sales[[#This Row],[Sale_Date]],"MMMM")</f>
        <v>March</v>
      </c>
      <c r="E304" s="1" t="str">
        <f>TEXT(Sales[[#This Row],[Sale_Date]],"DDDD")</f>
        <v>Sunday</v>
      </c>
      <c r="F304" t="s">
        <v>37</v>
      </c>
      <c r="G304" t="s">
        <v>20</v>
      </c>
      <c r="H304" s="2">
        <v>9335.9599999999991</v>
      </c>
      <c r="I304">
        <v>19</v>
      </c>
      <c r="J304" t="s">
        <v>25</v>
      </c>
      <c r="K304" s="2">
        <v>1783.48</v>
      </c>
      <c r="L304" s="2">
        <v>1931.56</v>
      </c>
      <c r="M304" t="s">
        <v>16</v>
      </c>
      <c r="N304">
        <v>0.27</v>
      </c>
      <c r="O304" s="2">
        <f>(Sales[[#This Row],[Unit_Price]]-Sales[[#This Row],[Discount]]*Sales[[#This Row],[Unit_Price]])</f>
        <v>1410.0387999999998</v>
      </c>
      <c r="P304" t="s">
        <v>26</v>
      </c>
      <c r="Q304" t="s">
        <v>21</v>
      </c>
      <c r="R304" t="s">
        <v>40</v>
      </c>
    </row>
    <row r="305" spans="1:18" x14ac:dyDescent="0.35">
      <c r="A305">
        <v>1024</v>
      </c>
      <c r="B305" s="1">
        <v>45101</v>
      </c>
      <c r="C305" s="1" t="str">
        <f>TEXT(Sales[[#This Row],[Sale_Date]],"YYYY")</f>
        <v>2023</v>
      </c>
      <c r="D305" s="1" t="str">
        <f>TEXT(Sales[[#This Row],[Sale_Date]],"MMMM")</f>
        <v>June</v>
      </c>
      <c r="E305" s="1" t="str">
        <f>TEXT(Sales[[#This Row],[Sale_Date]],"DDDD")</f>
        <v>Saturday</v>
      </c>
      <c r="F305" t="s">
        <v>41</v>
      </c>
      <c r="G305" t="s">
        <v>14</v>
      </c>
      <c r="H305" s="2">
        <v>8292.31</v>
      </c>
      <c r="I305">
        <v>43</v>
      </c>
      <c r="J305" t="s">
        <v>28</v>
      </c>
      <c r="K305" s="2">
        <v>3105.24</v>
      </c>
      <c r="L305" s="2">
        <v>3246.33</v>
      </c>
      <c r="M305" t="s">
        <v>29</v>
      </c>
      <c r="N305">
        <v>0.25</v>
      </c>
      <c r="O305" s="2">
        <f>(Sales[[#This Row],[Unit_Price]]-Sales[[#This Row],[Discount]]*Sales[[#This Row],[Unit_Price]])</f>
        <v>2434.7474999999999</v>
      </c>
      <c r="P305" t="s">
        <v>17</v>
      </c>
      <c r="Q305" t="s">
        <v>18</v>
      </c>
      <c r="R305" t="s">
        <v>48</v>
      </c>
    </row>
    <row r="306" spans="1:18" x14ac:dyDescent="0.35">
      <c r="A306">
        <v>1054</v>
      </c>
      <c r="B306" s="1">
        <v>45120</v>
      </c>
      <c r="C306" s="1" t="str">
        <f>TEXT(Sales[[#This Row],[Sale_Date]],"YYYY")</f>
        <v>2023</v>
      </c>
      <c r="D306" s="1" t="str">
        <f>TEXT(Sales[[#This Row],[Sale_Date]],"MMMM")</f>
        <v>July</v>
      </c>
      <c r="E306" s="1" t="str">
        <f>TEXT(Sales[[#This Row],[Sale_Date]],"DDDD")</f>
        <v>Thursday</v>
      </c>
      <c r="F306" t="s">
        <v>41</v>
      </c>
      <c r="G306" t="s">
        <v>24</v>
      </c>
      <c r="H306" s="2">
        <v>7002.37</v>
      </c>
      <c r="I306">
        <v>47</v>
      </c>
      <c r="J306" t="s">
        <v>25</v>
      </c>
      <c r="K306" s="2">
        <v>4429.8</v>
      </c>
      <c r="L306" s="2">
        <v>4694.21</v>
      </c>
      <c r="M306" t="s">
        <v>29</v>
      </c>
      <c r="N306">
        <v>0.25</v>
      </c>
      <c r="O306" s="2">
        <f>(Sales[[#This Row],[Unit_Price]]-Sales[[#This Row],[Discount]]*Sales[[#This Row],[Unit_Price]])</f>
        <v>3520.6575000000003</v>
      </c>
      <c r="P306" t="s">
        <v>26</v>
      </c>
      <c r="Q306" t="s">
        <v>18</v>
      </c>
      <c r="R306" t="s">
        <v>42</v>
      </c>
    </row>
    <row r="307" spans="1:18" x14ac:dyDescent="0.35">
      <c r="A307">
        <v>1033</v>
      </c>
      <c r="B307" s="1">
        <v>45039</v>
      </c>
      <c r="C307" s="1" t="str">
        <f>TEXT(Sales[[#This Row],[Sale_Date]],"YYYY")</f>
        <v>2023</v>
      </c>
      <c r="D307" s="1" t="str">
        <f>TEXT(Sales[[#This Row],[Sale_Date]],"MMMM")</f>
        <v>April</v>
      </c>
      <c r="E307" s="1" t="str">
        <f>TEXT(Sales[[#This Row],[Sale_Date]],"DDDD")</f>
        <v>Sunday</v>
      </c>
      <c r="F307" t="s">
        <v>32</v>
      </c>
      <c r="G307" t="s">
        <v>33</v>
      </c>
      <c r="H307" s="2">
        <v>7171.83</v>
      </c>
      <c r="I307">
        <v>44</v>
      </c>
      <c r="J307" t="s">
        <v>34</v>
      </c>
      <c r="K307" s="2">
        <v>1195.22</v>
      </c>
      <c r="L307" s="2">
        <v>1320.06</v>
      </c>
      <c r="M307" t="s">
        <v>16</v>
      </c>
      <c r="N307">
        <v>0.23</v>
      </c>
      <c r="O307" s="2">
        <f>(Sales[[#This Row],[Unit_Price]]-Sales[[#This Row],[Discount]]*Sales[[#This Row],[Unit_Price]])</f>
        <v>1016.4461999999999</v>
      </c>
      <c r="P307" t="s">
        <v>26</v>
      </c>
      <c r="Q307" t="s">
        <v>21</v>
      </c>
      <c r="R307" t="s">
        <v>35</v>
      </c>
    </row>
    <row r="308" spans="1:18" x14ac:dyDescent="0.35">
      <c r="A308">
        <v>1024</v>
      </c>
      <c r="B308" s="1">
        <v>45040</v>
      </c>
      <c r="C308" s="1" t="str">
        <f>TEXT(Sales[[#This Row],[Sale_Date]],"YYYY")</f>
        <v>2023</v>
      </c>
      <c r="D308" s="1" t="str">
        <f>TEXT(Sales[[#This Row],[Sale_Date]],"MMMM")</f>
        <v>April</v>
      </c>
      <c r="E308" s="1" t="str">
        <f>TEXT(Sales[[#This Row],[Sale_Date]],"DDDD")</f>
        <v>Monday</v>
      </c>
      <c r="F308" t="s">
        <v>23</v>
      </c>
      <c r="G308" t="s">
        <v>14</v>
      </c>
      <c r="H308" s="2">
        <v>4670.99</v>
      </c>
      <c r="I308">
        <v>35</v>
      </c>
      <c r="J308" t="s">
        <v>15</v>
      </c>
      <c r="K308" s="2">
        <v>2051</v>
      </c>
      <c r="L308" s="2">
        <v>2121.5500000000002</v>
      </c>
      <c r="M308" t="s">
        <v>16</v>
      </c>
      <c r="N308">
        <v>0.26</v>
      </c>
      <c r="O308" s="2">
        <f>(Sales[[#This Row],[Unit_Price]]-Sales[[#This Row],[Discount]]*Sales[[#This Row],[Unit_Price]])</f>
        <v>1569.9470000000001</v>
      </c>
      <c r="P308" t="s">
        <v>17</v>
      </c>
      <c r="Q308" t="s">
        <v>21</v>
      </c>
      <c r="R308" t="s">
        <v>44</v>
      </c>
    </row>
    <row r="309" spans="1:18" x14ac:dyDescent="0.35">
      <c r="A309">
        <v>1075</v>
      </c>
      <c r="B309" s="1">
        <v>45148</v>
      </c>
      <c r="C309" s="1" t="str">
        <f>TEXT(Sales[[#This Row],[Sale_Date]],"YYYY")</f>
        <v>2023</v>
      </c>
      <c r="D309" s="1" t="str">
        <f>TEXT(Sales[[#This Row],[Sale_Date]],"MMMM")</f>
        <v>August</v>
      </c>
      <c r="E309" s="1" t="str">
        <f>TEXT(Sales[[#This Row],[Sale_Date]],"DDDD")</f>
        <v>Thursday</v>
      </c>
      <c r="F309" t="s">
        <v>32</v>
      </c>
      <c r="G309" t="s">
        <v>14</v>
      </c>
      <c r="H309" s="2">
        <v>9217.85</v>
      </c>
      <c r="I309">
        <v>17</v>
      </c>
      <c r="J309" t="s">
        <v>34</v>
      </c>
      <c r="K309" s="2">
        <v>4966.66</v>
      </c>
      <c r="L309" s="2">
        <v>5037.2699999999904</v>
      </c>
      <c r="M309" t="s">
        <v>16</v>
      </c>
      <c r="N309">
        <v>0.24</v>
      </c>
      <c r="O309" s="2">
        <f>(Sales[[#This Row],[Unit_Price]]-Sales[[#This Row],[Discount]]*Sales[[#This Row],[Unit_Price]])</f>
        <v>3828.3251999999929</v>
      </c>
      <c r="P309" t="s">
        <v>26</v>
      </c>
      <c r="Q309" t="s">
        <v>21</v>
      </c>
      <c r="R309" t="s">
        <v>52</v>
      </c>
    </row>
    <row r="310" spans="1:18" x14ac:dyDescent="0.35">
      <c r="A310">
        <v>1072</v>
      </c>
      <c r="B310" s="1">
        <v>45092</v>
      </c>
      <c r="C310" s="1" t="str">
        <f>TEXT(Sales[[#This Row],[Sale_Date]],"YYYY")</f>
        <v>2023</v>
      </c>
      <c r="D310" s="1" t="str">
        <f>TEXT(Sales[[#This Row],[Sale_Date]],"MMMM")</f>
        <v>June</v>
      </c>
      <c r="E310" s="1" t="str">
        <f>TEXT(Sales[[#This Row],[Sale_Date]],"DDDD")</f>
        <v>Thursday</v>
      </c>
      <c r="F310" t="s">
        <v>23</v>
      </c>
      <c r="G310" t="s">
        <v>14</v>
      </c>
      <c r="H310" s="2">
        <v>6976.49</v>
      </c>
      <c r="I310">
        <v>35</v>
      </c>
      <c r="J310" t="s">
        <v>34</v>
      </c>
      <c r="K310" s="2">
        <v>4349.3599999999997</v>
      </c>
      <c r="L310" s="2">
        <v>4645.17</v>
      </c>
      <c r="M310" t="s">
        <v>16</v>
      </c>
      <c r="N310">
        <v>0.18</v>
      </c>
      <c r="O310" s="2">
        <f>(Sales[[#This Row],[Unit_Price]]-Sales[[#This Row],[Discount]]*Sales[[#This Row],[Unit_Price]])</f>
        <v>3809.0394000000001</v>
      </c>
      <c r="P310" t="s">
        <v>30</v>
      </c>
      <c r="Q310" t="s">
        <v>21</v>
      </c>
      <c r="R310" t="s">
        <v>44</v>
      </c>
    </row>
    <row r="311" spans="1:18" x14ac:dyDescent="0.35">
      <c r="A311">
        <v>1036</v>
      </c>
      <c r="B311" s="1">
        <v>45245</v>
      </c>
      <c r="C311" s="1" t="str">
        <f>TEXT(Sales[[#This Row],[Sale_Date]],"YYYY")</f>
        <v>2023</v>
      </c>
      <c r="D311" s="1" t="str">
        <f>TEXT(Sales[[#This Row],[Sale_Date]],"MMMM")</f>
        <v>November</v>
      </c>
      <c r="E311" s="1" t="str">
        <f>TEXT(Sales[[#This Row],[Sale_Date]],"DDDD")</f>
        <v>Wednesday</v>
      </c>
      <c r="F311" t="s">
        <v>13</v>
      </c>
      <c r="G311" t="s">
        <v>20</v>
      </c>
      <c r="H311" s="2">
        <v>7316.91</v>
      </c>
      <c r="I311">
        <v>19</v>
      </c>
      <c r="J311" t="s">
        <v>15</v>
      </c>
      <c r="K311" s="2">
        <v>2844.97</v>
      </c>
      <c r="L311" s="2">
        <v>3215</v>
      </c>
      <c r="M311" t="s">
        <v>16</v>
      </c>
      <c r="N311">
        <v>0.09</v>
      </c>
      <c r="O311" s="2">
        <f>(Sales[[#This Row],[Unit_Price]]-Sales[[#This Row],[Discount]]*Sales[[#This Row],[Unit_Price]])</f>
        <v>2925.65</v>
      </c>
      <c r="P311" t="s">
        <v>30</v>
      </c>
      <c r="Q311" t="s">
        <v>21</v>
      </c>
      <c r="R311" t="s">
        <v>22</v>
      </c>
    </row>
    <row r="312" spans="1:18" x14ac:dyDescent="0.35">
      <c r="A312">
        <v>1038</v>
      </c>
      <c r="B312" s="1">
        <v>45058</v>
      </c>
      <c r="C312" s="1" t="str">
        <f>TEXT(Sales[[#This Row],[Sale_Date]],"YYYY")</f>
        <v>2023</v>
      </c>
      <c r="D312" s="1" t="str">
        <f>TEXT(Sales[[#This Row],[Sale_Date]],"MMMM")</f>
        <v>May</v>
      </c>
      <c r="E312" s="1" t="str">
        <f>TEXT(Sales[[#This Row],[Sale_Date]],"DDDD")</f>
        <v>Friday</v>
      </c>
      <c r="F312" t="s">
        <v>13</v>
      </c>
      <c r="G312" t="s">
        <v>24</v>
      </c>
      <c r="H312" s="2">
        <v>8630.74</v>
      </c>
      <c r="I312">
        <v>20</v>
      </c>
      <c r="J312" t="s">
        <v>28</v>
      </c>
      <c r="K312" s="2">
        <v>2607.31</v>
      </c>
      <c r="L312" s="2">
        <v>2774.86</v>
      </c>
      <c r="M312" t="s">
        <v>29</v>
      </c>
      <c r="N312">
        <v>0.27</v>
      </c>
      <c r="O312" s="2">
        <f>(Sales[[#This Row],[Unit_Price]]-Sales[[#This Row],[Discount]]*Sales[[#This Row],[Unit_Price]])</f>
        <v>2025.6478000000002</v>
      </c>
      <c r="P312" t="s">
        <v>30</v>
      </c>
      <c r="Q312" t="s">
        <v>21</v>
      </c>
      <c r="R312" t="s">
        <v>31</v>
      </c>
    </row>
    <row r="313" spans="1:18" x14ac:dyDescent="0.35">
      <c r="A313">
        <v>1084</v>
      </c>
      <c r="B313" s="1">
        <v>45190</v>
      </c>
      <c r="C313" s="1" t="str">
        <f>TEXT(Sales[[#This Row],[Sale_Date]],"YYYY")</f>
        <v>2023</v>
      </c>
      <c r="D313" s="1" t="str">
        <f>TEXT(Sales[[#This Row],[Sale_Date]],"MMMM")</f>
        <v>September</v>
      </c>
      <c r="E313" s="1" t="str">
        <f>TEXT(Sales[[#This Row],[Sale_Date]],"DDDD")</f>
        <v>Thursday</v>
      </c>
      <c r="F313" t="s">
        <v>37</v>
      </c>
      <c r="G313" t="s">
        <v>24</v>
      </c>
      <c r="H313" s="2">
        <v>2813.31</v>
      </c>
      <c r="I313">
        <v>36</v>
      </c>
      <c r="J313" t="s">
        <v>15</v>
      </c>
      <c r="K313" s="2">
        <v>1458.77</v>
      </c>
      <c r="L313" s="2">
        <v>1485.75</v>
      </c>
      <c r="M313" t="s">
        <v>29</v>
      </c>
      <c r="N313">
        <v>0.25</v>
      </c>
      <c r="O313" s="2">
        <f>(Sales[[#This Row],[Unit_Price]]-Sales[[#This Row],[Discount]]*Sales[[#This Row],[Unit_Price]])</f>
        <v>1114.3125</v>
      </c>
      <c r="P313" t="s">
        <v>30</v>
      </c>
      <c r="Q313" t="s">
        <v>18</v>
      </c>
      <c r="R313" t="s">
        <v>38</v>
      </c>
    </row>
    <row r="314" spans="1:18" x14ac:dyDescent="0.35">
      <c r="A314">
        <v>1099</v>
      </c>
      <c r="B314" s="1">
        <v>44981</v>
      </c>
      <c r="C314" s="1" t="str">
        <f>TEXT(Sales[[#This Row],[Sale_Date]],"YYYY")</f>
        <v>2023</v>
      </c>
      <c r="D314" s="1" t="str">
        <f>TEXT(Sales[[#This Row],[Sale_Date]],"MMMM")</f>
        <v>February</v>
      </c>
      <c r="E314" s="1" t="str">
        <f>TEXT(Sales[[#This Row],[Sale_Date]],"DDDD")</f>
        <v>Friday</v>
      </c>
      <c r="F314" t="s">
        <v>23</v>
      </c>
      <c r="G314" t="s">
        <v>33</v>
      </c>
      <c r="H314" s="2">
        <v>8090</v>
      </c>
      <c r="I314">
        <v>35</v>
      </c>
      <c r="J314" t="s">
        <v>28</v>
      </c>
      <c r="K314" s="2">
        <v>2610.19</v>
      </c>
      <c r="L314" s="2">
        <v>2682.53</v>
      </c>
      <c r="M314" t="s">
        <v>29</v>
      </c>
      <c r="N314">
        <v>0.14000000000000001</v>
      </c>
      <c r="O314" s="2">
        <f>(Sales[[#This Row],[Unit_Price]]-Sales[[#This Row],[Discount]]*Sales[[#This Row],[Unit_Price]])</f>
        <v>2306.9758000000002</v>
      </c>
      <c r="P314" t="s">
        <v>17</v>
      </c>
      <c r="Q314" t="s">
        <v>21</v>
      </c>
      <c r="R314" t="s">
        <v>49</v>
      </c>
    </row>
    <row r="315" spans="1:18" x14ac:dyDescent="0.35">
      <c r="A315">
        <v>1089</v>
      </c>
      <c r="B315" s="1">
        <v>45285</v>
      </c>
      <c r="C315" s="1" t="str">
        <f>TEXT(Sales[[#This Row],[Sale_Date]],"YYYY")</f>
        <v>2023</v>
      </c>
      <c r="D315" s="1" t="str">
        <f>TEXT(Sales[[#This Row],[Sale_Date]],"MMMM")</f>
        <v>December</v>
      </c>
      <c r="E315" s="1" t="str">
        <f>TEXT(Sales[[#This Row],[Sale_Date]],"DDDD")</f>
        <v>Monday</v>
      </c>
      <c r="F315" t="s">
        <v>37</v>
      </c>
      <c r="G315" t="s">
        <v>24</v>
      </c>
      <c r="H315" s="2">
        <v>2032.88</v>
      </c>
      <c r="I315">
        <v>32</v>
      </c>
      <c r="J315" t="s">
        <v>28</v>
      </c>
      <c r="K315" s="2">
        <v>4248.5</v>
      </c>
      <c r="L315" s="2">
        <v>4706.7</v>
      </c>
      <c r="M315" t="s">
        <v>29</v>
      </c>
      <c r="N315">
        <v>0.01</v>
      </c>
      <c r="O315" s="2">
        <f>(Sales[[#This Row],[Unit_Price]]-Sales[[#This Row],[Discount]]*Sales[[#This Row],[Unit_Price]])</f>
        <v>4659.6329999999998</v>
      </c>
      <c r="P315" t="s">
        <v>26</v>
      </c>
      <c r="Q315" t="s">
        <v>21</v>
      </c>
      <c r="R315" t="s">
        <v>38</v>
      </c>
    </row>
    <row r="316" spans="1:18" x14ac:dyDescent="0.35">
      <c r="A316">
        <v>1099</v>
      </c>
      <c r="B316" s="1">
        <v>45057</v>
      </c>
      <c r="C316" s="1" t="str">
        <f>TEXT(Sales[[#This Row],[Sale_Date]],"YYYY")</f>
        <v>2023</v>
      </c>
      <c r="D316" s="1" t="str">
        <f>TEXT(Sales[[#This Row],[Sale_Date]],"MMMM")</f>
        <v>May</v>
      </c>
      <c r="E316" s="1" t="str">
        <f>TEXT(Sales[[#This Row],[Sale_Date]],"DDDD")</f>
        <v>Thursday</v>
      </c>
      <c r="F316" t="s">
        <v>41</v>
      </c>
      <c r="G316" t="s">
        <v>24</v>
      </c>
      <c r="H316" s="2">
        <v>3518.89</v>
      </c>
      <c r="I316">
        <v>48</v>
      </c>
      <c r="J316" t="s">
        <v>25</v>
      </c>
      <c r="K316" s="2">
        <v>3441.61</v>
      </c>
      <c r="L316" s="2">
        <v>3693.45</v>
      </c>
      <c r="M316" t="s">
        <v>16</v>
      </c>
      <c r="N316">
        <v>0.19</v>
      </c>
      <c r="O316" s="2">
        <f>(Sales[[#This Row],[Unit_Price]]-Sales[[#This Row],[Discount]]*Sales[[#This Row],[Unit_Price]])</f>
        <v>2991.6944999999996</v>
      </c>
      <c r="P316" t="s">
        <v>26</v>
      </c>
      <c r="Q316" t="s">
        <v>18</v>
      </c>
      <c r="R316" t="s">
        <v>42</v>
      </c>
    </row>
    <row r="317" spans="1:18" x14ac:dyDescent="0.35">
      <c r="A317">
        <v>1025</v>
      </c>
      <c r="B317" s="1">
        <v>45214</v>
      </c>
      <c r="C317" s="1" t="str">
        <f>TEXT(Sales[[#This Row],[Sale_Date]],"YYYY")</f>
        <v>2023</v>
      </c>
      <c r="D317" s="1" t="str">
        <f>TEXT(Sales[[#This Row],[Sale_Date]],"MMMM")</f>
        <v>October</v>
      </c>
      <c r="E317" s="1" t="str">
        <f>TEXT(Sales[[#This Row],[Sale_Date]],"DDDD")</f>
        <v>Sunday</v>
      </c>
      <c r="F317" t="s">
        <v>23</v>
      </c>
      <c r="G317" t="s">
        <v>14</v>
      </c>
      <c r="H317" s="2">
        <v>3422.54</v>
      </c>
      <c r="I317">
        <v>44</v>
      </c>
      <c r="J317" t="s">
        <v>25</v>
      </c>
      <c r="K317" s="2">
        <v>1485.72</v>
      </c>
      <c r="L317" s="2">
        <v>1717.97</v>
      </c>
      <c r="M317" t="s">
        <v>29</v>
      </c>
      <c r="N317">
        <v>0.02</v>
      </c>
      <c r="O317" s="2">
        <f>(Sales[[#This Row],[Unit_Price]]-Sales[[#This Row],[Discount]]*Sales[[#This Row],[Unit_Price]])</f>
        <v>1683.6106</v>
      </c>
      <c r="P317" t="s">
        <v>30</v>
      </c>
      <c r="Q317" t="s">
        <v>21</v>
      </c>
      <c r="R317" t="s">
        <v>44</v>
      </c>
    </row>
    <row r="318" spans="1:18" x14ac:dyDescent="0.35">
      <c r="A318">
        <v>1093</v>
      </c>
      <c r="B318" s="1">
        <v>45192</v>
      </c>
      <c r="C318" s="1" t="str">
        <f>TEXT(Sales[[#This Row],[Sale_Date]],"YYYY")</f>
        <v>2023</v>
      </c>
      <c r="D318" s="1" t="str">
        <f>TEXT(Sales[[#This Row],[Sale_Date]],"MMMM")</f>
        <v>September</v>
      </c>
      <c r="E318" s="1" t="str">
        <f>TEXT(Sales[[#This Row],[Sale_Date]],"DDDD")</f>
        <v>Saturday</v>
      </c>
      <c r="F318" t="s">
        <v>32</v>
      </c>
      <c r="G318" t="s">
        <v>14</v>
      </c>
      <c r="H318" s="2">
        <v>9787.4</v>
      </c>
      <c r="I318">
        <v>40</v>
      </c>
      <c r="J318" t="s">
        <v>15</v>
      </c>
      <c r="K318" s="2">
        <v>1047.25</v>
      </c>
      <c r="L318" s="2">
        <v>1075.8900000000001</v>
      </c>
      <c r="M318" t="s">
        <v>29</v>
      </c>
      <c r="N318">
        <v>0.28000000000000003</v>
      </c>
      <c r="O318" s="2">
        <f>(Sales[[#This Row],[Unit_Price]]-Sales[[#This Row],[Discount]]*Sales[[#This Row],[Unit_Price]])</f>
        <v>774.64080000000013</v>
      </c>
      <c r="P318" t="s">
        <v>30</v>
      </c>
      <c r="Q318" t="s">
        <v>21</v>
      </c>
      <c r="R318" t="s">
        <v>52</v>
      </c>
    </row>
    <row r="319" spans="1:18" x14ac:dyDescent="0.35">
      <c r="A319">
        <v>1018</v>
      </c>
      <c r="B319" s="1">
        <v>45292</v>
      </c>
      <c r="C319" s="1" t="str">
        <f>TEXT(Sales[[#This Row],[Sale_Date]],"YYYY")</f>
        <v>2024</v>
      </c>
      <c r="D319" s="1" t="str">
        <f>TEXT(Sales[[#This Row],[Sale_Date]],"MMMM")</f>
        <v>January</v>
      </c>
      <c r="E319" s="1" t="str">
        <f>TEXT(Sales[[#This Row],[Sale_Date]],"DDDD")</f>
        <v>Monday</v>
      </c>
      <c r="F319" t="s">
        <v>41</v>
      </c>
      <c r="G319" t="s">
        <v>20</v>
      </c>
      <c r="H319" s="2">
        <v>8579.7199999999993</v>
      </c>
      <c r="I319">
        <v>24</v>
      </c>
      <c r="J319" t="s">
        <v>34</v>
      </c>
      <c r="K319" s="2">
        <v>1362.78</v>
      </c>
      <c r="L319" s="2">
        <v>1729.81</v>
      </c>
      <c r="M319" t="s">
        <v>29</v>
      </c>
      <c r="N319">
        <v>0.28999999999999998</v>
      </c>
      <c r="O319" s="2">
        <f>(Sales[[#This Row],[Unit_Price]]-Sales[[#This Row],[Discount]]*Sales[[#This Row],[Unit_Price]])</f>
        <v>1228.1650999999999</v>
      </c>
      <c r="P319" t="s">
        <v>26</v>
      </c>
      <c r="Q319" t="s">
        <v>18</v>
      </c>
      <c r="R319" t="s">
        <v>50</v>
      </c>
    </row>
    <row r="320" spans="1:18" x14ac:dyDescent="0.35">
      <c r="A320">
        <v>1082</v>
      </c>
      <c r="B320" s="1">
        <v>45088</v>
      </c>
      <c r="C320" s="1" t="str">
        <f>TEXT(Sales[[#This Row],[Sale_Date]],"YYYY")</f>
        <v>2023</v>
      </c>
      <c r="D320" s="1" t="str">
        <f>TEXT(Sales[[#This Row],[Sale_Date]],"MMMM")</f>
        <v>June</v>
      </c>
      <c r="E320" s="1" t="str">
        <f>TEXT(Sales[[#This Row],[Sale_Date]],"DDDD")</f>
        <v>Sunday</v>
      </c>
      <c r="F320" t="s">
        <v>41</v>
      </c>
      <c r="G320" t="s">
        <v>14</v>
      </c>
      <c r="H320" s="2">
        <v>7041.58</v>
      </c>
      <c r="I320">
        <v>17</v>
      </c>
      <c r="J320" t="s">
        <v>15</v>
      </c>
      <c r="K320" s="2">
        <v>890.31</v>
      </c>
      <c r="L320" s="2">
        <v>1159.06</v>
      </c>
      <c r="M320" t="s">
        <v>16</v>
      </c>
      <c r="N320">
        <v>0.06</v>
      </c>
      <c r="O320" s="2">
        <f>(Sales[[#This Row],[Unit_Price]]-Sales[[#This Row],[Discount]]*Sales[[#This Row],[Unit_Price]])</f>
        <v>1089.5164</v>
      </c>
      <c r="P320" t="s">
        <v>17</v>
      </c>
      <c r="Q320" t="s">
        <v>21</v>
      </c>
      <c r="R320" t="s">
        <v>48</v>
      </c>
    </row>
    <row r="321" spans="1:18" x14ac:dyDescent="0.35">
      <c r="A321">
        <v>1066</v>
      </c>
      <c r="B321" s="1">
        <v>45013</v>
      </c>
      <c r="C321" s="1" t="str">
        <f>TEXT(Sales[[#This Row],[Sale_Date]],"YYYY")</f>
        <v>2023</v>
      </c>
      <c r="D321" s="1" t="str">
        <f>TEXT(Sales[[#This Row],[Sale_Date]],"MMMM")</f>
        <v>March</v>
      </c>
      <c r="E321" s="1" t="str">
        <f>TEXT(Sales[[#This Row],[Sale_Date]],"DDDD")</f>
        <v>Tuesday</v>
      </c>
      <c r="F321" t="s">
        <v>32</v>
      </c>
      <c r="G321" t="s">
        <v>14</v>
      </c>
      <c r="H321" s="2">
        <v>7297.86</v>
      </c>
      <c r="I321">
        <v>7</v>
      </c>
      <c r="J321" t="s">
        <v>28</v>
      </c>
      <c r="K321" s="2">
        <v>523.41999999999996</v>
      </c>
      <c r="L321" s="2">
        <v>632.43999999999903</v>
      </c>
      <c r="M321" t="s">
        <v>29</v>
      </c>
      <c r="N321">
        <v>0.2</v>
      </c>
      <c r="O321" s="2">
        <f>(Sales[[#This Row],[Unit_Price]]-Sales[[#This Row],[Discount]]*Sales[[#This Row],[Unit_Price]])</f>
        <v>505.9519999999992</v>
      </c>
      <c r="P321" t="s">
        <v>26</v>
      </c>
      <c r="Q321" t="s">
        <v>18</v>
      </c>
      <c r="R321" t="s">
        <v>52</v>
      </c>
    </row>
    <row r="322" spans="1:18" x14ac:dyDescent="0.35">
      <c r="A322">
        <v>1054</v>
      </c>
      <c r="B322" s="1">
        <v>44981</v>
      </c>
      <c r="C322" s="1" t="str">
        <f>TEXT(Sales[[#This Row],[Sale_Date]],"YYYY")</f>
        <v>2023</v>
      </c>
      <c r="D322" s="1" t="str">
        <f>TEXT(Sales[[#This Row],[Sale_Date]],"MMMM")</f>
        <v>February</v>
      </c>
      <c r="E322" s="1" t="str">
        <f>TEXT(Sales[[#This Row],[Sale_Date]],"DDDD")</f>
        <v>Friday</v>
      </c>
      <c r="F322" t="s">
        <v>41</v>
      </c>
      <c r="G322" t="s">
        <v>14</v>
      </c>
      <c r="H322" s="2">
        <v>5664.52</v>
      </c>
      <c r="I322">
        <v>43</v>
      </c>
      <c r="J322" t="s">
        <v>25</v>
      </c>
      <c r="K322" s="2">
        <v>2124.7199999999998</v>
      </c>
      <c r="L322" s="2">
        <v>2188.66</v>
      </c>
      <c r="M322" t="s">
        <v>16</v>
      </c>
      <c r="N322">
        <v>0.03</v>
      </c>
      <c r="O322" s="2">
        <f>(Sales[[#This Row],[Unit_Price]]-Sales[[#This Row],[Discount]]*Sales[[#This Row],[Unit_Price]])</f>
        <v>2123.0001999999999</v>
      </c>
      <c r="P322" t="s">
        <v>30</v>
      </c>
      <c r="Q322" t="s">
        <v>21</v>
      </c>
      <c r="R322" t="s">
        <v>48</v>
      </c>
    </row>
    <row r="323" spans="1:18" x14ac:dyDescent="0.35">
      <c r="A323">
        <v>1035</v>
      </c>
      <c r="B323" s="1">
        <v>45214</v>
      </c>
      <c r="C323" s="1" t="str">
        <f>TEXT(Sales[[#This Row],[Sale_Date]],"YYYY")</f>
        <v>2023</v>
      </c>
      <c r="D323" s="1" t="str">
        <f>TEXT(Sales[[#This Row],[Sale_Date]],"MMMM")</f>
        <v>October</v>
      </c>
      <c r="E323" s="1" t="str">
        <f>TEXT(Sales[[#This Row],[Sale_Date]],"DDDD")</f>
        <v>Sunday</v>
      </c>
      <c r="F323" t="s">
        <v>23</v>
      </c>
      <c r="G323" t="s">
        <v>14</v>
      </c>
      <c r="H323" s="2">
        <v>9476.2000000000007</v>
      </c>
      <c r="I323">
        <v>1</v>
      </c>
      <c r="J323" t="s">
        <v>15</v>
      </c>
      <c r="K323" s="2">
        <v>610.83000000000004</v>
      </c>
      <c r="L323" s="2">
        <v>808.69</v>
      </c>
      <c r="M323" t="s">
        <v>29</v>
      </c>
      <c r="N323">
        <v>0.22</v>
      </c>
      <c r="O323" s="2">
        <f>(Sales[[#This Row],[Unit_Price]]-Sales[[#This Row],[Discount]]*Sales[[#This Row],[Unit_Price]])</f>
        <v>630.77820000000008</v>
      </c>
      <c r="P323" t="s">
        <v>30</v>
      </c>
      <c r="Q323" t="s">
        <v>18</v>
      </c>
      <c r="R323" t="s">
        <v>44</v>
      </c>
    </row>
    <row r="324" spans="1:18" x14ac:dyDescent="0.35">
      <c r="A324">
        <v>1080</v>
      </c>
      <c r="B324" s="1">
        <v>45104</v>
      </c>
      <c r="C324" s="1" t="str">
        <f>TEXT(Sales[[#This Row],[Sale_Date]],"YYYY")</f>
        <v>2023</v>
      </c>
      <c r="D324" s="1" t="str">
        <f>TEXT(Sales[[#This Row],[Sale_Date]],"MMMM")</f>
        <v>June</v>
      </c>
      <c r="E324" s="1" t="str">
        <f>TEXT(Sales[[#This Row],[Sale_Date]],"DDDD")</f>
        <v>Tuesday</v>
      </c>
      <c r="F324" t="s">
        <v>37</v>
      </c>
      <c r="G324" t="s">
        <v>20</v>
      </c>
      <c r="H324" s="2">
        <v>5012.96</v>
      </c>
      <c r="I324">
        <v>35</v>
      </c>
      <c r="J324" t="s">
        <v>15</v>
      </c>
      <c r="K324" s="2">
        <v>900.97</v>
      </c>
      <c r="L324" s="2">
        <v>1321.18</v>
      </c>
      <c r="M324" t="s">
        <v>16</v>
      </c>
      <c r="N324">
        <v>0.1</v>
      </c>
      <c r="O324" s="2">
        <f>(Sales[[#This Row],[Unit_Price]]-Sales[[#This Row],[Discount]]*Sales[[#This Row],[Unit_Price]])</f>
        <v>1189.0620000000001</v>
      </c>
      <c r="P324" t="s">
        <v>17</v>
      </c>
      <c r="Q324" t="s">
        <v>18</v>
      </c>
      <c r="R324" t="s">
        <v>40</v>
      </c>
    </row>
    <row r="325" spans="1:18" x14ac:dyDescent="0.35">
      <c r="A325">
        <v>1061</v>
      </c>
      <c r="B325" s="1">
        <v>45275</v>
      </c>
      <c r="C325" s="1" t="str">
        <f>TEXT(Sales[[#This Row],[Sale_Date]],"YYYY")</f>
        <v>2023</v>
      </c>
      <c r="D325" s="1" t="str">
        <f>TEXT(Sales[[#This Row],[Sale_Date]],"MMMM")</f>
        <v>December</v>
      </c>
      <c r="E325" s="1" t="str">
        <f>TEXT(Sales[[#This Row],[Sale_Date]],"DDDD")</f>
        <v>Friday</v>
      </c>
      <c r="F325" t="s">
        <v>41</v>
      </c>
      <c r="G325" t="s">
        <v>14</v>
      </c>
      <c r="H325" s="2">
        <v>3867.13</v>
      </c>
      <c r="I325">
        <v>32</v>
      </c>
      <c r="J325" t="s">
        <v>25</v>
      </c>
      <c r="K325" s="2">
        <v>2759.26</v>
      </c>
      <c r="L325" s="2">
        <v>3193.25</v>
      </c>
      <c r="M325" t="s">
        <v>29</v>
      </c>
      <c r="N325">
        <v>0.2</v>
      </c>
      <c r="O325" s="2">
        <f>(Sales[[#This Row],[Unit_Price]]-Sales[[#This Row],[Discount]]*Sales[[#This Row],[Unit_Price]])</f>
        <v>2554.6</v>
      </c>
      <c r="P325" t="s">
        <v>26</v>
      </c>
      <c r="Q325" t="s">
        <v>18</v>
      </c>
      <c r="R325" t="s">
        <v>48</v>
      </c>
    </row>
    <row r="326" spans="1:18" x14ac:dyDescent="0.35">
      <c r="A326">
        <v>1041</v>
      </c>
      <c r="B326" s="1">
        <v>44934</v>
      </c>
      <c r="C326" s="1" t="str">
        <f>TEXT(Sales[[#This Row],[Sale_Date]],"YYYY")</f>
        <v>2023</v>
      </c>
      <c r="D326" s="1" t="str">
        <f>TEXT(Sales[[#This Row],[Sale_Date]],"MMMM")</f>
        <v>January</v>
      </c>
      <c r="E326" s="1" t="str">
        <f>TEXT(Sales[[#This Row],[Sale_Date]],"DDDD")</f>
        <v>Sunday</v>
      </c>
      <c r="F326" t="s">
        <v>23</v>
      </c>
      <c r="G326" t="s">
        <v>33</v>
      </c>
      <c r="H326" s="2">
        <v>1714.05</v>
      </c>
      <c r="I326">
        <v>36</v>
      </c>
      <c r="J326" t="s">
        <v>25</v>
      </c>
      <c r="K326" s="2">
        <v>864.77</v>
      </c>
      <c r="L326" s="2">
        <v>1170.1599999999901</v>
      </c>
      <c r="M326" t="s">
        <v>16</v>
      </c>
      <c r="N326">
        <v>0.11</v>
      </c>
      <c r="O326" s="2">
        <f>(Sales[[#This Row],[Unit_Price]]-Sales[[#This Row],[Discount]]*Sales[[#This Row],[Unit_Price]])</f>
        <v>1041.4423999999913</v>
      </c>
      <c r="P326" t="s">
        <v>17</v>
      </c>
      <c r="Q326" t="s">
        <v>21</v>
      </c>
      <c r="R326" t="s">
        <v>49</v>
      </c>
    </row>
    <row r="327" spans="1:18" x14ac:dyDescent="0.35">
      <c r="A327">
        <v>1100</v>
      </c>
      <c r="B327" s="1">
        <v>45247</v>
      </c>
      <c r="C327" s="1" t="str">
        <f>TEXT(Sales[[#This Row],[Sale_Date]],"YYYY")</f>
        <v>2023</v>
      </c>
      <c r="D327" s="1" t="str">
        <f>TEXT(Sales[[#This Row],[Sale_Date]],"MMMM")</f>
        <v>November</v>
      </c>
      <c r="E327" s="1" t="str">
        <f>TEXT(Sales[[#This Row],[Sale_Date]],"DDDD")</f>
        <v>Friday</v>
      </c>
      <c r="F327" t="s">
        <v>13</v>
      </c>
      <c r="G327" t="s">
        <v>33</v>
      </c>
      <c r="H327" s="2">
        <v>7883.44</v>
      </c>
      <c r="I327">
        <v>13</v>
      </c>
      <c r="J327" t="s">
        <v>25</v>
      </c>
      <c r="K327" s="2">
        <v>366.2</v>
      </c>
      <c r="L327" s="2">
        <v>732.69</v>
      </c>
      <c r="M327" t="s">
        <v>29</v>
      </c>
      <c r="N327">
        <v>0.04</v>
      </c>
      <c r="O327" s="2">
        <f>(Sales[[#This Row],[Unit_Price]]-Sales[[#This Row],[Discount]]*Sales[[#This Row],[Unit_Price]])</f>
        <v>703.38240000000008</v>
      </c>
      <c r="P327" t="s">
        <v>17</v>
      </c>
      <c r="Q327" t="s">
        <v>21</v>
      </c>
      <c r="R327" t="s">
        <v>45</v>
      </c>
    </row>
    <row r="328" spans="1:18" x14ac:dyDescent="0.35">
      <c r="A328">
        <v>1033</v>
      </c>
      <c r="B328" s="1">
        <v>45239</v>
      </c>
      <c r="C328" s="1" t="str">
        <f>TEXT(Sales[[#This Row],[Sale_Date]],"YYYY")</f>
        <v>2023</v>
      </c>
      <c r="D328" s="1" t="str">
        <f>TEXT(Sales[[#This Row],[Sale_Date]],"MMMM")</f>
        <v>November</v>
      </c>
      <c r="E328" s="1" t="str">
        <f>TEXT(Sales[[#This Row],[Sale_Date]],"DDDD")</f>
        <v>Thursday</v>
      </c>
      <c r="F328" t="s">
        <v>23</v>
      </c>
      <c r="G328" t="s">
        <v>33</v>
      </c>
      <c r="H328" s="2">
        <v>7370.99</v>
      </c>
      <c r="I328">
        <v>6</v>
      </c>
      <c r="J328" t="s">
        <v>28</v>
      </c>
      <c r="K328" s="2">
        <v>1621.07</v>
      </c>
      <c r="L328" s="2">
        <v>1687.5</v>
      </c>
      <c r="M328" t="s">
        <v>16</v>
      </c>
      <c r="N328">
        <v>0.12</v>
      </c>
      <c r="O328" s="2">
        <f>(Sales[[#This Row],[Unit_Price]]-Sales[[#This Row],[Discount]]*Sales[[#This Row],[Unit_Price]])</f>
        <v>1485</v>
      </c>
      <c r="P328" t="s">
        <v>30</v>
      </c>
      <c r="Q328" t="s">
        <v>18</v>
      </c>
      <c r="R328" t="s">
        <v>49</v>
      </c>
    </row>
    <row r="329" spans="1:18" x14ac:dyDescent="0.35">
      <c r="A329">
        <v>1068</v>
      </c>
      <c r="B329" s="1">
        <v>45173</v>
      </c>
      <c r="C329" s="1" t="str">
        <f>TEXT(Sales[[#This Row],[Sale_Date]],"YYYY")</f>
        <v>2023</v>
      </c>
      <c r="D329" s="1" t="str">
        <f>TEXT(Sales[[#This Row],[Sale_Date]],"MMMM")</f>
        <v>September</v>
      </c>
      <c r="E329" s="1" t="str">
        <f>TEXT(Sales[[#This Row],[Sale_Date]],"DDDD")</f>
        <v>Monday</v>
      </c>
      <c r="F329" t="s">
        <v>37</v>
      </c>
      <c r="G329" t="s">
        <v>33</v>
      </c>
      <c r="H329" s="2">
        <v>3905.11</v>
      </c>
      <c r="I329">
        <v>14</v>
      </c>
      <c r="J329" t="s">
        <v>25</v>
      </c>
      <c r="K329" s="2">
        <v>1140.58</v>
      </c>
      <c r="L329" s="2">
        <v>1438.76</v>
      </c>
      <c r="M329" t="s">
        <v>16</v>
      </c>
      <c r="N329">
        <v>0.03</v>
      </c>
      <c r="O329" s="2">
        <f>(Sales[[#This Row],[Unit_Price]]-Sales[[#This Row],[Discount]]*Sales[[#This Row],[Unit_Price]])</f>
        <v>1395.5971999999999</v>
      </c>
      <c r="P329" t="s">
        <v>26</v>
      </c>
      <c r="Q329" t="s">
        <v>18</v>
      </c>
      <c r="R329" t="s">
        <v>47</v>
      </c>
    </row>
    <row r="330" spans="1:18" x14ac:dyDescent="0.35">
      <c r="A330">
        <v>1033</v>
      </c>
      <c r="B330" s="1">
        <v>45249</v>
      </c>
      <c r="C330" s="1" t="str">
        <f>TEXT(Sales[[#This Row],[Sale_Date]],"YYYY")</f>
        <v>2023</v>
      </c>
      <c r="D330" s="1" t="str">
        <f>TEXT(Sales[[#This Row],[Sale_Date]],"MMMM")</f>
        <v>November</v>
      </c>
      <c r="E330" s="1" t="str">
        <f>TEXT(Sales[[#This Row],[Sale_Date]],"DDDD")</f>
        <v>Sunday</v>
      </c>
      <c r="F330" t="s">
        <v>23</v>
      </c>
      <c r="G330" t="s">
        <v>14</v>
      </c>
      <c r="H330" s="2">
        <v>349.41</v>
      </c>
      <c r="I330">
        <v>37</v>
      </c>
      <c r="J330" t="s">
        <v>34</v>
      </c>
      <c r="K330" s="2">
        <v>2600.7600000000002</v>
      </c>
      <c r="L330" s="2">
        <v>2937.57</v>
      </c>
      <c r="M330" t="s">
        <v>29</v>
      </c>
      <c r="N330">
        <v>0.17</v>
      </c>
      <c r="O330" s="2">
        <f>(Sales[[#This Row],[Unit_Price]]-Sales[[#This Row],[Discount]]*Sales[[#This Row],[Unit_Price]])</f>
        <v>2438.1831000000002</v>
      </c>
      <c r="P330" t="s">
        <v>30</v>
      </c>
      <c r="Q330" t="s">
        <v>21</v>
      </c>
      <c r="R330" t="s">
        <v>44</v>
      </c>
    </row>
    <row r="331" spans="1:18" x14ac:dyDescent="0.35">
      <c r="A331">
        <v>1014</v>
      </c>
      <c r="B331" s="1">
        <v>45181</v>
      </c>
      <c r="C331" s="1" t="str">
        <f>TEXT(Sales[[#This Row],[Sale_Date]],"YYYY")</f>
        <v>2023</v>
      </c>
      <c r="D331" s="1" t="str">
        <f>TEXT(Sales[[#This Row],[Sale_Date]],"MMMM")</f>
        <v>September</v>
      </c>
      <c r="E331" s="1" t="str">
        <f>TEXT(Sales[[#This Row],[Sale_Date]],"DDDD")</f>
        <v>Tuesday</v>
      </c>
      <c r="F331" t="s">
        <v>32</v>
      </c>
      <c r="G331" t="s">
        <v>33</v>
      </c>
      <c r="H331" s="2">
        <v>8406.07</v>
      </c>
      <c r="I331">
        <v>48</v>
      </c>
      <c r="J331" t="s">
        <v>15</v>
      </c>
      <c r="K331" s="2">
        <v>556.72</v>
      </c>
      <c r="L331" s="2">
        <v>665.07</v>
      </c>
      <c r="M331" t="s">
        <v>16</v>
      </c>
      <c r="N331">
        <v>0.01</v>
      </c>
      <c r="O331" s="2">
        <f>(Sales[[#This Row],[Unit_Price]]-Sales[[#This Row],[Discount]]*Sales[[#This Row],[Unit_Price]])</f>
        <v>658.41930000000002</v>
      </c>
      <c r="P331" t="s">
        <v>26</v>
      </c>
      <c r="Q331" t="s">
        <v>21</v>
      </c>
      <c r="R331" t="s">
        <v>35</v>
      </c>
    </row>
    <row r="332" spans="1:18" x14ac:dyDescent="0.35">
      <c r="A332">
        <v>1021</v>
      </c>
      <c r="B332" s="1">
        <v>45254</v>
      </c>
      <c r="C332" s="1" t="str">
        <f>TEXT(Sales[[#This Row],[Sale_Date]],"YYYY")</f>
        <v>2023</v>
      </c>
      <c r="D332" s="1" t="str">
        <f>TEXT(Sales[[#This Row],[Sale_Date]],"MMMM")</f>
        <v>November</v>
      </c>
      <c r="E332" s="1" t="str">
        <f>TEXT(Sales[[#This Row],[Sale_Date]],"DDDD")</f>
        <v>Friday</v>
      </c>
      <c r="F332" t="s">
        <v>37</v>
      </c>
      <c r="G332" t="s">
        <v>14</v>
      </c>
      <c r="H332" s="2">
        <v>213.04</v>
      </c>
      <c r="I332">
        <v>15</v>
      </c>
      <c r="J332" t="s">
        <v>25</v>
      </c>
      <c r="K332" s="2">
        <v>3771.27</v>
      </c>
      <c r="L332" s="2">
        <v>4212.55</v>
      </c>
      <c r="M332" t="s">
        <v>16</v>
      </c>
      <c r="N332">
        <v>0.16</v>
      </c>
      <c r="O332" s="2">
        <f>(Sales[[#This Row],[Unit_Price]]-Sales[[#This Row],[Discount]]*Sales[[#This Row],[Unit_Price]])</f>
        <v>3538.5420000000004</v>
      </c>
      <c r="P332" t="s">
        <v>30</v>
      </c>
      <c r="Q332" t="s">
        <v>21</v>
      </c>
      <c r="R332" t="s">
        <v>39</v>
      </c>
    </row>
    <row r="333" spans="1:18" x14ac:dyDescent="0.35">
      <c r="A333">
        <v>1048</v>
      </c>
      <c r="B333" s="1">
        <v>44980</v>
      </c>
      <c r="C333" s="1" t="str">
        <f>TEXT(Sales[[#This Row],[Sale_Date]],"YYYY")</f>
        <v>2023</v>
      </c>
      <c r="D333" s="1" t="str">
        <f>TEXT(Sales[[#This Row],[Sale_Date]],"MMMM")</f>
        <v>February</v>
      </c>
      <c r="E333" s="1" t="str">
        <f>TEXT(Sales[[#This Row],[Sale_Date]],"DDDD")</f>
        <v>Thursday</v>
      </c>
      <c r="F333" t="s">
        <v>13</v>
      </c>
      <c r="G333" t="s">
        <v>20</v>
      </c>
      <c r="H333" s="2">
        <v>7066.63</v>
      </c>
      <c r="I333">
        <v>47</v>
      </c>
      <c r="J333" t="s">
        <v>25</v>
      </c>
      <c r="K333" s="2">
        <v>4535.8599999999997</v>
      </c>
      <c r="L333" s="2">
        <v>4641.41</v>
      </c>
      <c r="M333" t="s">
        <v>29</v>
      </c>
      <c r="N333">
        <v>0.27</v>
      </c>
      <c r="O333" s="2">
        <f>(Sales[[#This Row],[Unit_Price]]-Sales[[#This Row],[Discount]]*Sales[[#This Row],[Unit_Price]])</f>
        <v>3388.2293</v>
      </c>
      <c r="P333" t="s">
        <v>30</v>
      </c>
      <c r="Q333" t="s">
        <v>21</v>
      </c>
      <c r="R333" t="s">
        <v>22</v>
      </c>
    </row>
    <row r="334" spans="1:18" x14ac:dyDescent="0.35">
      <c r="A334">
        <v>1020</v>
      </c>
      <c r="B334" s="1">
        <v>45175</v>
      </c>
      <c r="C334" s="1" t="str">
        <f>TEXT(Sales[[#This Row],[Sale_Date]],"YYYY")</f>
        <v>2023</v>
      </c>
      <c r="D334" s="1" t="str">
        <f>TEXT(Sales[[#This Row],[Sale_Date]],"MMMM")</f>
        <v>September</v>
      </c>
      <c r="E334" s="1" t="str">
        <f>TEXT(Sales[[#This Row],[Sale_Date]],"DDDD")</f>
        <v>Wednesday</v>
      </c>
      <c r="F334" t="s">
        <v>32</v>
      </c>
      <c r="G334" t="s">
        <v>33</v>
      </c>
      <c r="H334" s="2">
        <v>9705.5499999999993</v>
      </c>
      <c r="I334">
        <v>4</v>
      </c>
      <c r="J334" t="s">
        <v>28</v>
      </c>
      <c r="K334" s="2">
        <v>3730</v>
      </c>
      <c r="L334" s="2">
        <v>3893.6</v>
      </c>
      <c r="M334" t="s">
        <v>29</v>
      </c>
      <c r="N334">
        <v>0.25</v>
      </c>
      <c r="O334" s="2">
        <f>(Sales[[#This Row],[Unit_Price]]-Sales[[#This Row],[Discount]]*Sales[[#This Row],[Unit_Price]])</f>
        <v>2920.2</v>
      </c>
      <c r="P334" t="s">
        <v>26</v>
      </c>
      <c r="Q334" t="s">
        <v>21</v>
      </c>
      <c r="R334" t="s">
        <v>35</v>
      </c>
    </row>
    <row r="335" spans="1:18" x14ac:dyDescent="0.35">
      <c r="A335">
        <v>1008</v>
      </c>
      <c r="B335" s="1">
        <v>45165</v>
      </c>
      <c r="C335" s="1" t="str">
        <f>TEXT(Sales[[#This Row],[Sale_Date]],"YYYY")</f>
        <v>2023</v>
      </c>
      <c r="D335" s="1" t="str">
        <f>TEXT(Sales[[#This Row],[Sale_Date]],"MMMM")</f>
        <v>August</v>
      </c>
      <c r="E335" s="1" t="str">
        <f>TEXT(Sales[[#This Row],[Sale_Date]],"DDDD")</f>
        <v>Sunday</v>
      </c>
      <c r="F335" t="s">
        <v>23</v>
      </c>
      <c r="G335" t="s">
        <v>24</v>
      </c>
      <c r="H335" s="2">
        <v>4432.8500000000004</v>
      </c>
      <c r="I335">
        <v>40</v>
      </c>
      <c r="J335" t="s">
        <v>28</v>
      </c>
      <c r="K335" s="2">
        <v>2687.49</v>
      </c>
      <c r="L335" s="2">
        <v>3001.56</v>
      </c>
      <c r="M335" t="s">
        <v>16</v>
      </c>
      <c r="N335">
        <v>0.26</v>
      </c>
      <c r="O335" s="2">
        <f>(Sales[[#This Row],[Unit_Price]]-Sales[[#This Row],[Discount]]*Sales[[#This Row],[Unit_Price]])</f>
        <v>2221.1543999999999</v>
      </c>
      <c r="P335" t="s">
        <v>26</v>
      </c>
      <c r="Q335" t="s">
        <v>18</v>
      </c>
      <c r="R335" t="s">
        <v>27</v>
      </c>
    </row>
    <row r="336" spans="1:18" x14ac:dyDescent="0.35">
      <c r="A336">
        <v>1007</v>
      </c>
      <c r="B336" s="1">
        <v>45155</v>
      </c>
      <c r="C336" s="1" t="str">
        <f>TEXT(Sales[[#This Row],[Sale_Date]],"YYYY")</f>
        <v>2023</v>
      </c>
      <c r="D336" s="1" t="str">
        <f>TEXT(Sales[[#This Row],[Sale_Date]],"MMMM")</f>
        <v>August</v>
      </c>
      <c r="E336" s="1" t="str">
        <f>TEXT(Sales[[#This Row],[Sale_Date]],"DDDD")</f>
        <v>Thursday</v>
      </c>
      <c r="F336" t="s">
        <v>37</v>
      </c>
      <c r="G336" t="s">
        <v>33</v>
      </c>
      <c r="H336" s="2">
        <v>2426.2399999999998</v>
      </c>
      <c r="I336">
        <v>16</v>
      </c>
      <c r="J336" t="s">
        <v>15</v>
      </c>
      <c r="K336" s="2">
        <v>4310.3100000000004</v>
      </c>
      <c r="L336" s="2">
        <v>4633.1000000000004</v>
      </c>
      <c r="M336" t="s">
        <v>29</v>
      </c>
      <c r="N336">
        <v>0.28000000000000003</v>
      </c>
      <c r="O336" s="2">
        <f>(Sales[[#This Row],[Unit_Price]]-Sales[[#This Row],[Discount]]*Sales[[#This Row],[Unit_Price]])</f>
        <v>3335.8320000000003</v>
      </c>
      <c r="P336" t="s">
        <v>30</v>
      </c>
      <c r="Q336" t="s">
        <v>21</v>
      </c>
      <c r="R336" t="s">
        <v>47</v>
      </c>
    </row>
    <row r="337" spans="1:18" x14ac:dyDescent="0.35">
      <c r="A337">
        <v>1067</v>
      </c>
      <c r="B337" s="1">
        <v>44993</v>
      </c>
      <c r="C337" s="1" t="str">
        <f>TEXT(Sales[[#This Row],[Sale_Date]],"YYYY")</f>
        <v>2023</v>
      </c>
      <c r="D337" s="1" t="str">
        <f>TEXT(Sales[[#This Row],[Sale_Date]],"MMMM")</f>
        <v>March</v>
      </c>
      <c r="E337" s="1" t="str">
        <f>TEXT(Sales[[#This Row],[Sale_Date]],"DDDD")</f>
        <v>Wednesday</v>
      </c>
      <c r="F337" t="s">
        <v>13</v>
      </c>
      <c r="G337" t="s">
        <v>33</v>
      </c>
      <c r="H337" s="2">
        <v>7078.22</v>
      </c>
      <c r="I337">
        <v>28</v>
      </c>
      <c r="J337" t="s">
        <v>34</v>
      </c>
      <c r="K337" s="2">
        <v>3489.85</v>
      </c>
      <c r="L337" s="2">
        <v>3842.5499999999902</v>
      </c>
      <c r="M337" t="s">
        <v>29</v>
      </c>
      <c r="N337">
        <v>0.03</v>
      </c>
      <c r="O337" s="2">
        <f>(Sales[[#This Row],[Unit_Price]]-Sales[[#This Row],[Discount]]*Sales[[#This Row],[Unit_Price]])</f>
        <v>3727.2734999999907</v>
      </c>
      <c r="P337" t="s">
        <v>26</v>
      </c>
      <c r="Q337" t="s">
        <v>18</v>
      </c>
      <c r="R337" t="s">
        <v>45</v>
      </c>
    </row>
    <row r="338" spans="1:18" x14ac:dyDescent="0.35">
      <c r="A338">
        <v>1017</v>
      </c>
      <c r="B338" s="1">
        <v>44977</v>
      </c>
      <c r="C338" s="1" t="str">
        <f>TEXT(Sales[[#This Row],[Sale_Date]],"YYYY")</f>
        <v>2023</v>
      </c>
      <c r="D338" s="1" t="str">
        <f>TEXT(Sales[[#This Row],[Sale_Date]],"MMMM")</f>
        <v>February</v>
      </c>
      <c r="E338" s="1" t="str">
        <f>TEXT(Sales[[#This Row],[Sale_Date]],"DDDD")</f>
        <v>Monday</v>
      </c>
      <c r="F338" t="s">
        <v>32</v>
      </c>
      <c r="G338" t="s">
        <v>14</v>
      </c>
      <c r="H338" s="2">
        <v>8189.57</v>
      </c>
      <c r="I338">
        <v>16</v>
      </c>
      <c r="J338" t="s">
        <v>15</v>
      </c>
      <c r="K338" s="2">
        <v>102.23</v>
      </c>
      <c r="L338" s="2">
        <v>167.12</v>
      </c>
      <c r="M338" t="s">
        <v>29</v>
      </c>
      <c r="N338">
        <v>0.04</v>
      </c>
      <c r="O338" s="2">
        <f>(Sales[[#This Row],[Unit_Price]]-Sales[[#This Row],[Discount]]*Sales[[#This Row],[Unit_Price]])</f>
        <v>160.43520000000001</v>
      </c>
      <c r="P338" t="s">
        <v>30</v>
      </c>
      <c r="Q338" t="s">
        <v>21</v>
      </c>
      <c r="R338" t="s">
        <v>52</v>
      </c>
    </row>
    <row r="339" spans="1:18" x14ac:dyDescent="0.35">
      <c r="A339">
        <v>1033</v>
      </c>
      <c r="B339" s="1">
        <v>45023</v>
      </c>
      <c r="C339" s="1" t="str">
        <f>TEXT(Sales[[#This Row],[Sale_Date]],"YYYY")</f>
        <v>2023</v>
      </c>
      <c r="D339" s="1" t="str">
        <f>TEXT(Sales[[#This Row],[Sale_Date]],"MMMM")</f>
        <v>April</v>
      </c>
      <c r="E339" s="1" t="str">
        <f>TEXT(Sales[[#This Row],[Sale_Date]],"DDDD")</f>
        <v>Friday</v>
      </c>
      <c r="F339" t="s">
        <v>13</v>
      </c>
      <c r="G339" t="s">
        <v>33</v>
      </c>
      <c r="H339" s="2">
        <v>5509.66</v>
      </c>
      <c r="I339">
        <v>4</v>
      </c>
      <c r="J339" t="s">
        <v>25</v>
      </c>
      <c r="K339" s="2">
        <v>2000.75</v>
      </c>
      <c r="L339" s="2">
        <v>2426.9899999999998</v>
      </c>
      <c r="M339" t="s">
        <v>16</v>
      </c>
      <c r="N339">
        <v>0.17</v>
      </c>
      <c r="O339" s="2">
        <f>(Sales[[#This Row],[Unit_Price]]-Sales[[#This Row],[Discount]]*Sales[[#This Row],[Unit_Price]])</f>
        <v>2014.4016999999999</v>
      </c>
      <c r="P339" t="s">
        <v>26</v>
      </c>
      <c r="Q339" t="s">
        <v>18</v>
      </c>
      <c r="R339" t="s">
        <v>45</v>
      </c>
    </row>
    <row r="340" spans="1:18" x14ac:dyDescent="0.35">
      <c r="A340">
        <v>1048</v>
      </c>
      <c r="B340" s="1">
        <v>45018</v>
      </c>
      <c r="C340" s="1" t="str">
        <f>TEXT(Sales[[#This Row],[Sale_Date]],"YYYY")</f>
        <v>2023</v>
      </c>
      <c r="D340" s="1" t="str">
        <f>TEXT(Sales[[#This Row],[Sale_Date]],"MMMM")</f>
        <v>April</v>
      </c>
      <c r="E340" s="1" t="str">
        <f>TEXT(Sales[[#This Row],[Sale_Date]],"DDDD")</f>
        <v>Sunday</v>
      </c>
      <c r="F340" t="s">
        <v>23</v>
      </c>
      <c r="G340" t="s">
        <v>24</v>
      </c>
      <c r="H340" s="2">
        <v>9673.65</v>
      </c>
      <c r="I340">
        <v>45</v>
      </c>
      <c r="J340" t="s">
        <v>34</v>
      </c>
      <c r="K340" s="2">
        <v>4262.21</v>
      </c>
      <c r="L340" s="2">
        <v>4533.3100000000004</v>
      </c>
      <c r="M340" t="s">
        <v>16</v>
      </c>
      <c r="N340">
        <v>0.27</v>
      </c>
      <c r="O340" s="2">
        <f>(Sales[[#This Row],[Unit_Price]]-Sales[[#This Row],[Discount]]*Sales[[#This Row],[Unit_Price]])</f>
        <v>3309.3163000000004</v>
      </c>
      <c r="P340" t="s">
        <v>30</v>
      </c>
      <c r="Q340" t="s">
        <v>18</v>
      </c>
      <c r="R340" t="s">
        <v>27</v>
      </c>
    </row>
    <row r="341" spans="1:18" x14ac:dyDescent="0.35">
      <c r="A341">
        <v>1076</v>
      </c>
      <c r="B341" s="1">
        <v>45190</v>
      </c>
      <c r="C341" s="1" t="str">
        <f>TEXT(Sales[[#This Row],[Sale_Date]],"YYYY")</f>
        <v>2023</v>
      </c>
      <c r="D341" s="1" t="str">
        <f>TEXT(Sales[[#This Row],[Sale_Date]],"MMMM")</f>
        <v>September</v>
      </c>
      <c r="E341" s="1" t="str">
        <f>TEXT(Sales[[#This Row],[Sale_Date]],"DDDD")</f>
        <v>Thursday</v>
      </c>
      <c r="F341" t="s">
        <v>13</v>
      </c>
      <c r="G341" t="s">
        <v>14</v>
      </c>
      <c r="H341" s="2">
        <v>611.52</v>
      </c>
      <c r="I341">
        <v>26</v>
      </c>
      <c r="J341" t="s">
        <v>34</v>
      </c>
      <c r="K341" s="2">
        <v>1762</v>
      </c>
      <c r="L341" s="2">
        <v>2002.95</v>
      </c>
      <c r="M341" t="s">
        <v>16</v>
      </c>
      <c r="N341">
        <v>0.28999999999999998</v>
      </c>
      <c r="O341" s="2">
        <f>(Sales[[#This Row],[Unit_Price]]-Sales[[#This Row],[Discount]]*Sales[[#This Row],[Unit_Price]])</f>
        <v>1422.0945000000002</v>
      </c>
      <c r="P341" t="s">
        <v>30</v>
      </c>
      <c r="Q341" t="s">
        <v>21</v>
      </c>
      <c r="R341" t="s">
        <v>19</v>
      </c>
    </row>
    <row r="342" spans="1:18" x14ac:dyDescent="0.35">
      <c r="A342">
        <v>1059</v>
      </c>
      <c r="B342" s="1">
        <v>45217</v>
      </c>
      <c r="C342" s="1" t="str">
        <f>TEXT(Sales[[#This Row],[Sale_Date]],"YYYY")</f>
        <v>2023</v>
      </c>
      <c r="D342" s="1" t="str">
        <f>TEXT(Sales[[#This Row],[Sale_Date]],"MMMM")</f>
        <v>October</v>
      </c>
      <c r="E342" s="1" t="str">
        <f>TEXT(Sales[[#This Row],[Sale_Date]],"DDDD")</f>
        <v>Wednesday</v>
      </c>
      <c r="F342" t="s">
        <v>41</v>
      </c>
      <c r="G342" t="s">
        <v>14</v>
      </c>
      <c r="H342" s="2">
        <v>5097.4799999999996</v>
      </c>
      <c r="I342">
        <v>28</v>
      </c>
      <c r="J342" t="s">
        <v>34</v>
      </c>
      <c r="K342" s="2">
        <v>224.32</v>
      </c>
      <c r="L342" s="2">
        <v>715.06</v>
      </c>
      <c r="M342" t="s">
        <v>16</v>
      </c>
      <c r="N342">
        <v>0.01</v>
      </c>
      <c r="O342" s="2">
        <f>(Sales[[#This Row],[Unit_Price]]-Sales[[#This Row],[Discount]]*Sales[[#This Row],[Unit_Price]])</f>
        <v>707.90939999999989</v>
      </c>
      <c r="P342" t="s">
        <v>30</v>
      </c>
      <c r="Q342" t="s">
        <v>18</v>
      </c>
      <c r="R342" t="s">
        <v>48</v>
      </c>
    </row>
    <row r="343" spans="1:18" x14ac:dyDescent="0.35">
      <c r="A343">
        <v>1086</v>
      </c>
      <c r="B343" s="1">
        <v>45022</v>
      </c>
      <c r="C343" s="1" t="str">
        <f>TEXT(Sales[[#This Row],[Sale_Date]],"YYYY")</f>
        <v>2023</v>
      </c>
      <c r="D343" s="1" t="str">
        <f>TEXT(Sales[[#This Row],[Sale_Date]],"MMMM")</f>
        <v>April</v>
      </c>
      <c r="E343" s="1" t="str">
        <f>TEXT(Sales[[#This Row],[Sale_Date]],"DDDD")</f>
        <v>Thursday</v>
      </c>
      <c r="F343" t="s">
        <v>32</v>
      </c>
      <c r="G343" t="s">
        <v>20</v>
      </c>
      <c r="H343" s="2">
        <v>7212.69</v>
      </c>
      <c r="I343">
        <v>32</v>
      </c>
      <c r="J343" t="s">
        <v>34</v>
      </c>
      <c r="K343" s="2">
        <v>3743.59</v>
      </c>
      <c r="L343" s="2">
        <v>4116.38</v>
      </c>
      <c r="M343" t="s">
        <v>16</v>
      </c>
      <c r="N343">
        <v>0.11</v>
      </c>
      <c r="O343" s="2">
        <f>(Sales[[#This Row],[Unit_Price]]-Sales[[#This Row],[Discount]]*Sales[[#This Row],[Unit_Price]])</f>
        <v>3663.5781999999999</v>
      </c>
      <c r="P343" t="s">
        <v>17</v>
      </c>
      <c r="Q343" t="s">
        <v>18</v>
      </c>
      <c r="R343" t="s">
        <v>36</v>
      </c>
    </row>
    <row r="344" spans="1:18" x14ac:dyDescent="0.35">
      <c r="A344">
        <v>1022</v>
      </c>
      <c r="B344" s="1">
        <v>45014</v>
      </c>
      <c r="C344" s="1" t="str">
        <f>TEXT(Sales[[#This Row],[Sale_Date]],"YYYY")</f>
        <v>2023</v>
      </c>
      <c r="D344" s="1" t="str">
        <f>TEXT(Sales[[#This Row],[Sale_Date]],"MMMM")</f>
        <v>March</v>
      </c>
      <c r="E344" s="1" t="str">
        <f>TEXT(Sales[[#This Row],[Sale_Date]],"DDDD")</f>
        <v>Wednesday</v>
      </c>
      <c r="F344" t="s">
        <v>13</v>
      </c>
      <c r="G344" t="s">
        <v>20</v>
      </c>
      <c r="H344" s="2">
        <v>8640.14</v>
      </c>
      <c r="I344">
        <v>45</v>
      </c>
      <c r="J344" t="s">
        <v>15</v>
      </c>
      <c r="K344" s="2">
        <v>4020.09</v>
      </c>
      <c r="L344" s="2">
        <v>4087.91</v>
      </c>
      <c r="M344" t="s">
        <v>16</v>
      </c>
      <c r="N344">
        <v>0.06</v>
      </c>
      <c r="O344" s="2">
        <f>(Sales[[#This Row],[Unit_Price]]-Sales[[#This Row],[Discount]]*Sales[[#This Row],[Unit_Price]])</f>
        <v>3842.6353999999997</v>
      </c>
      <c r="P344" t="s">
        <v>26</v>
      </c>
      <c r="Q344" t="s">
        <v>18</v>
      </c>
      <c r="R344" t="s">
        <v>22</v>
      </c>
    </row>
    <row r="345" spans="1:18" x14ac:dyDescent="0.35">
      <c r="A345">
        <v>1030</v>
      </c>
      <c r="B345" s="1">
        <v>45004</v>
      </c>
      <c r="C345" s="1" t="str">
        <f>TEXT(Sales[[#This Row],[Sale_Date]],"YYYY")</f>
        <v>2023</v>
      </c>
      <c r="D345" s="1" t="str">
        <f>TEXT(Sales[[#This Row],[Sale_Date]],"MMMM")</f>
        <v>March</v>
      </c>
      <c r="E345" s="1" t="str">
        <f>TEXT(Sales[[#This Row],[Sale_Date]],"DDDD")</f>
        <v>Sunday</v>
      </c>
      <c r="F345" t="s">
        <v>23</v>
      </c>
      <c r="G345" t="s">
        <v>33</v>
      </c>
      <c r="H345" s="2">
        <v>1874.63</v>
      </c>
      <c r="I345">
        <v>2</v>
      </c>
      <c r="J345" t="s">
        <v>28</v>
      </c>
      <c r="K345" s="2">
        <v>844.94</v>
      </c>
      <c r="L345" s="2">
        <v>1225.6400000000001</v>
      </c>
      <c r="M345" t="s">
        <v>16</v>
      </c>
      <c r="N345">
        <v>0.23</v>
      </c>
      <c r="O345" s="2">
        <f>(Sales[[#This Row],[Unit_Price]]-Sales[[#This Row],[Discount]]*Sales[[#This Row],[Unit_Price]])</f>
        <v>943.74279999999999</v>
      </c>
      <c r="P345" t="s">
        <v>30</v>
      </c>
      <c r="Q345" t="s">
        <v>18</v>
      </c>
      <c r="R345" t="s">
        <v>49</v>
      </c>
    </row>
    <row r="346" spans="1:18" x14ac:dyDescent="0.35">
      <c r="A346">
        <v>1038</v>
      </c>
      <c r="B346" s="1">
        <v>45214</v>
      </c>
      <c r="C346" s="1" t="str">
        <f>TEXT(Sales[[#This Row],[Sale_Date]],"YYYY")</f>
        <v>2023</v>
      </c>
      <c r="D346" s="1" t="str">
        <f>TEXT(Sales[[#This Row],[Sale_Date]],"MMMM")</f>
        <v>October</v>
      </c>
      <c r="E346" s="1" t="str">
        <f>TEXT(Sales[[#This Row],[Sale_Date]],"DDDD")</f>
        <v>Sunday</v>
      </c>
      <c r="F346" t="s">
        <v>23</v>
      </c>
      <c r="G346" t="s">
        <v>20</v>
      </c>
      <c r="H346" s="2">
        <v>8020.03</v>
      </c>
      <c r="I346">
        <v>31</v>
      </c>
      <c r="J346" t="s">
        <v>28</v>
      </c>
      <c r="K346" s="2">
        <v>2709.84</v>
      </c>
      <c r="L346" s="2">
        <v>2766.51</v>
      </c>
      <c r="M346" t="s">
        <v>29</v>
      </c>
      <c r="N346">
        <v>0.19</v>
      </c>
      <c r="O346" s="2">
        <f>(Sales[[#This Row],[Unit_Price]]-Sales[[#This Row],[Discount]]*Sales[[#This Row],[Unit_Price]])</f>
        <v>2240.8731000000002</v>
      </c>
      <c r="P346" t="s">
        <v>17</v>
      </c>
      <c r="Q346" t="s">
        <v>21</v>
      </c>
      <c r="R346" t="s">
        <v>46</v>
      </c>
    </row>
    <row r="347" spans="1:18" x14ac:dyDescent="0.35">
      <c r="A347">
        <v>1051</v>
      </c>
      <c r="B347" s="1">
        <v>45046</v>
      </c>
      <c r="C347" s="1" t="str">
        <f>TEXT(Sales[[#This Row],[Sale_Date]],"YYYY")</f>
        <v>2023</v>
      </c>
      <c r="D347" s="1" t="str">
        <f>TEXT(Sales[[#This Row],[Sale_Date]],"MMMM")</f>
        <v>April</v>
      </c>
      <c r="E347" s="1" t="str">
        <f>TEXT(Sales[[#This Row],[Sale_Date]],"DDDD")</f>
        <v>Sunday</v>
      </c>
      <c r="F347" t="s">
        <v>13</v>
      </c>
      <c r="G347" t="s">
        <v>20</v>
      </c>
      <c r="H347" s="2">
        <v>5571.8</v>
      </c>
      <c r="I347">
        <v>3</v>
      </c>
      <c r="J347" t="s">
        <v>25</v>
      </c>
      <c r="K347" s="2">
        <v>1000.18</v>
      </c>
      <c r="L347" s="2">
        <v>1023.64</v>
      </c>
      <c r="M347" t="s">
        <v>16</v>
      </c>
      <c r="N347">
        <v>0.04</v>
      </c>
      <c r="O347" s="2">
        <f>(Sales[[#This Row],[Unit_Price]]-Sales[[#This Row],[Discount]]*Sales[[#This Row],[Unit_Price]])</f>
        <v>982.69439999999997</v>
      </c>
      <c r="P347" t="s">
        <v>30</v>
      </c>
      <c r="Q347" t="s">
        <v>18</v>
      </c>
      <c r="R347" t="s">
        <v>22</v>
      </c>
    </row>
    <row r="348" spans="1:18" x14ac:dyDescent="0.35">
      <c r="A348">
        <v>1054</v>
      </c>
      <c r="B348" s="1">
        <v>45228</v>
      </c>
      <c r="C348" s="1" t="str">
        <f>TEXT(Sales[[#This Row],[Sale_Date]],"YYYY")</f>
        <v>2023</v>
      </c>
      <c r="D348" s="1" t="str">
        <f>TEXT(Sales[[#This Row],[Sale_Date]],"MMMM")</f>
        <v>October</v>
      </c>
      <c r="E348" s="1" t="str">
        <f>TEXT(Sales[[#This Row],[Sale_Date]],"DDDD")</f>
        <v>Sunday</v>
      </c>
      <c r="F348" t="s">
        <v>23</v>
      </c>
      <c r="G348" t="s">
        <v>20</v>
      </c>
      <c r="H348" s="2">
        <v>4025.88</v>
      </c>
      <c r="I348">
        <v>8</v>
      </c>
      <c r="J348" t="s">
        <v>28</v>
      </c>
      <c r="K348" s="2">
        <v>3610.21</v>
      </c>
      <c r="L348" s="2">
        <v>3817.99</v>
      </c>
      <c r="M348" t="s">
        <v>16</v>
      </c>
      <c r="N348">
        <v>0.15</v>
      </c>
      <c r="O348" s="2">
        <f>(Sales[[#This Row],[Unit_Price]]-Sales[[#This Row],[Discount]]*Sales[[#This Row],[Unit_Price]])</f>
        <v>3245.2914999999998</v>
      </c>
      <c r="P348" t="s">
        <v>17</v>
      </c>
      <c r="Q348" t="s">
        <v>21</v>
      </c>
      <c r="R348" t="s">
        <v>46</v>
      </c>
    </row>
    <row r="349" spans="1:18" x14ac:dyDescent="0.35">
      <c r="A349">
        <v>1008</v>
      </c>
      <c r="B349" s="1">
        <v>45091</v>
      </c>
      <c r="C349" s="1" t="str">
        <f>TEXT(Sales[[#This Row],[Sale_Date]],"YYYY")</f>
        <v>2023</v>
      </c>
      <c r="D349" s="1" t="str">
        <f>TEXT(Sales[[#This Row],[Sale_Date]],"MMMM")</f>
        <v>June</v>
      </c>
      <c r="E349" s="1" t="str">
        <f>TEXT(Sales[[#This Row],[Sale_Date]],"DDDD")</f>
        <v>Wednesday</v>
      </c>
      <c r="F349" t="s">
        <v>37</v>
      </c>
      <c r="G349" t="s">
        <v>14</v>
      </c>
      <c r="H349" s="2">
        <v>1403.98</v>
      </c>
      <c r="I349">
        <v>24</v>
      </c>
      <c r="J349" t="s">
        <v>28</v>
      </c>
      <c r="K349" s="2">
        <v>1394.17</v>
      </c>
      <c r="L349" s="2">
        <v>1891.02</v>
      </c>
      <c r="M349" t="s">
        <v>29</v>
      </c>
      <c r="N349">
        <v>0.21</v>
      </c>
      <c r="O349" s="2">
        <f>(Sales[[#This Row],[Unit_Price]]-Sales[[#This Row],[Discount]]*Sales[[#This Row],[Unit_Price]])</f>
        <v>1493.9058</v>
      </c>
      <c r="P349" t="s">
        <v>30</v>
      </c>
      <c r="Q349" t="s">
        <v>18</v>
      </c>
      <c r="R349" t="s">
        <v>39</v>
      </c>
    </row>
    <row r="350" spans="1:18" x14ac:dyDescent="0.35">
      <c r="A350">
        <v>1027</v>
      </c>
      <c r="B350" s="1">
        <v>45108</v>
      </c>
      <c r="C350" s="1" t="str">
        <f>TEXT(Sales[[#This Row],[Sale_Date]],"YYYY")</f>
        <v>2023</v>
      </c>
      <c r="D350" s="1" t="str">
        <f>TEXT(Sales[[#This Row],[Sale_Date]],"MMMM")</f>
        <v>July</v>
      </c>
      <c r="E350" s="1" t="str">
        <f>TEXT(Sales[[#This Row],[Sale_Date]],"DDDD")</f>
        <v>Saturday</v>
      </c>
      <c r="F350" t="s">
        <v>37</v>
      </c>
      <c r="G350" t="s">
        <v>14</v>
      </c>
      <c r="H350" s="2">
        <v>8666.43</v>
      </c>
      <c r="I350">
        <v>15</v>
      </c>
      <c r="J350" t="s">
        <v>28</v>
      </c>
      <c r="K350" s="2">
        <v>1615.26</v>
      </c>
      <c r="L350" s="2">
        <v>1710.95</v>
      </c>
      <c r="M350" t="s">
        <v>29</v>
      </c>
      <c r="N350">
        <v>0.23</v>
      </c>
      <c r="O350" s="2">
        <f>(Sales[[#This Row],[Unit_Price]]-Sales[[#This Row],[Discount]]*Sales[[#This Row],[Unit_Price]])</f>
        <v>1317.4315000000001</v>
      </c>
      <c r="P350" t="s">
        <v>30</v>
      </c>
      <c r="Q350" t="s">
        <v>21</v>
      </c>
      <c r="R350" t="s">
        <v>39</v>
      </c>
    </row>
    <row r="351" spans="1:18" x14ac:dyDescent="0.35">
      <c r="A351">
        <v>1027</v>
      </c>
      <c r="B351" s="1">
        <v>45149</v>
      </c>
      <c r="C351" s="1" t="str">
        <f>TEXT(Sales[[#This Row],[Sale_Date]],"YYYY")</f>
        <v>2023</v>
      </c>
      <c r="D351" s="1" t="str">
        <f>TEXT(Sales[[#This Row],[Sale_Date]],"MMMM")</f>
        <v>August</v>
      </c>
      <c r="E351" s="1" t="str">
        <f>TEXT(Sales[[#This Row],[Sale_Date]],"DDDD")</f>
        <v>Friday</v>
      </c>
      <c r="F351" t="s">
        <v>37</v>
      </c>
      <c r="G351" t="s">
        <v>14</v>
      </c>
      <c r="H351" s="2">
        <v>1657</v>
      </c>
      <c r="I351">
        <v>43</v>
      </c>
      <c r="J351" t="s">
        <v>28</v>
      </c>
      <c r="K351" s="2">
        <v>4232.6099999999997</v>
      </c>
      <c r="L351" s="2">
        <v>4572.21</v>
      </c>
      <c r="M351" t="s">
        <v>29</v>
      </c>
      <c r="N351">
        <v>0.01</v>
      </c>
      <c r="O351" s="2">
        <f>(Sales[[#This Row],[Unit_Price]]-Sales[[#This Row],[Discount]]*Sales[[#This Row],[Unit_Price]])</f>
        <v>4526.4879000000001</v>
      </c>
      <c r="P351" t="s">
        <v>17</v>
      </c>
      <c r="Q351" t="s">
        <v>21</v>
      </c>
      <c r="R351" t="s">
        <v>39</v>
      </c>
    </row>
    <row r="352" spans="1:18" x14ac:dyDescent="0.35">
      <c r="A352">
        <v>1098</v>
      </c>
      <c r="B352" s="1">
        <v>45237</v>
      </c>
      <c r="C352" s="1" t="str">
        <f>TEXT(Sales[[#This Row],[Sale_Date]],"YYYY")</f>
        <v>2023</v>
      </c>
      <c r="D352" s="1" t="str">
        <f>TEXT(Sales[[#This Row],[Sale_Date]],"MMMM")</f>
        <v>November</v>
      </c>
      <c r="E352" s="1" t="str">
        <f>TEXT(Sales[[#This Row],[Sale_Date]],"DDDD")</f>
        <v>Tuesday</v>
      </c>
      <c r="F352" t="s">
        <v>41</v>
      </c>
      <c r="G352" t="s">
        <v>20</v>
      </c>
      <c r="H352" s="2">
        <v>3166.9</v>
      </c>
      <c r="I352">
        <v>31</v>
      </c>
      <c r="J352" t="s">
        <v>25</v>
      </c>
      <c r="K352" s="2">
        <v>2407.8000000000002</v>
      </c>
      <c r="L352" s="2">
        <v>2502.7600000000002</v>
      </c>
      <c r="M352" t="s">
        <v>16</v>
      </c>
      <c r="N352">
        <v>0.27</v>
      </c>
      <c r="O352" s="2">
        <f>(Sales[[#This Row],[Unit_Price]]-Sales[[#This Row],[Discount]]*Sales[[#This Row],[Unit_Price]])</f>
        <v>1827.0148000000002</v>
      </c>
      <c r="P352" t="s">
        <v>17</v>
      </c>
      <c r="Q352" t="s">
        <v>21</v>
      </c>
      <c r="R352" t="s">
        <v>50</v>
      </c>
    </row>
    <row r="353" spans="1:18" x14ac:dyDescent="0.35">
      <c r="A353">
        <v>1021</v>
      </c>
      <c r="B353" s="1">
        <v>44933</v>
      </c>
      <c r="C353" s="1" t="str">
        <f>TEXT(Sales[[#This Row],[Sale_Date]],"YYYY")</f>
        <v>2023</v>
      </c>
      <c r="D353" s="1" t="str">
        <f>TEXT(Sales[[#This Row],[Sale_Date]],"MMMM")</f>
        <v>January</v>
      </c>
      <c r="E353" s="1" t="str">
        <f>TEXT(Sales[[#This Row],[Sale_Date]],"DDDD")</f>
        <v>Saturday</v>
      </c>
      <c r="F353" t="s">
        <v>13</v>
      </c>
      <c r="G353" t="s">
        <v>14</v>
      </c>
      <c r="H353" s="2">
        <v>2971.45</v>
      </c>
      <c r="I353">
        <v>9</v>
      </c>
      <c r="J353" t="s">
        <v>15</v>
      </c>
      <c r="K353" s="2">
        <v>3365.28</v>
      </c>
      <c r="L353" s="2">
        <v>3730.43</v>
      </c>
      <c r="M353" t="s">
        <v>29</v>
      </c>
      <c r="N353">
        <v>0.17</v>
      </c>
      <c r="O353" s="2">
        <f>(Sales[[#This Row],[Unit_Price]]-Sales[[#This Row],[Discount]]*Sales[[#This Row],[Unit_Price]])</f>
        <v>3096.2568999999999</v>
      </c>
      <c r="P353" t="s">
        <v>26</v>
      </c>
      <c r="Q353" t="s">
        <v>18</v>
      </c>
      <c r="R353" t="s">
        <v>19</v>
      </c>
    </row>
    <row r="354" spans="1:18" x14ac:dyDescent="0.35">
      <c r="A354">
        <v>1030</v>
      </c>
      <c r="B354" s="1">
        <v>45256</v>
      </c>
      <c r="C354" s="1" t="str">
        <f>TEXT(Sales[[#This Row],[Sale_Date]],"YYYY")</f>
        <v>2023</v>
      </c>
      <c r="D354" s="1" t="str">
        <f>TEXT(Sales[[#This Row],[Sale_Date]],"MMMM")</f>
        <v>November</v>
      </c>
      <c r="E354" s="1" t="str">
        <f>TEXT(Sales[[#This Row],[Sale_Date]],"DDDD")</f>
        <v>Sunday</v>
      </c>
      <c r="F354" t="s">
        <v>41</v>
      </c>
      <c r="G354" t="s">
        <v>20</v>
      </c>
      <c r="H354" s="2">
        <v>8727</v>
      </c>
      <c r="I354">
        <v>39</v>
      </c>
      <c r="J354" t="s">
        <v>34</v>
      </c>
      <c r="K354" s="2">
        <v>2041.75</v>
      </c>
      <c r="L354" s="2">
        <v>2299.37</v>
      </c>
      <c r="M354" t="s">
        <v>16</v>
      </c>
      <c r="N354">
        <v>0.24</v>
      </c>
      <c r="O354" s="2">
        <f>(Sales[[#This Row],[Unit_Price]]-Sales[[#This Row],[Discount]]*Sales[[#This Row],[Unit_Price]])</f>
        <v>1747.5211999999999</v>
      </c>
      <c r="P354" t="s">
        <v>26</v>
      </c>
      <c r="Q354" t="s">
        <v>21</v>
      </c>
      <c r="R354" t="s">
        <v>50</v>
      </c>
    </row>
    <row r="355" spans="1:18" x14ac:dyDescent="0.35">
      <c r="A355">
        <v>1097</v>
      </c>
      <c r="B355" s="1">
        <v>45189</v>
      </c>
      <c r="C355" s="1" t="str">
        <f>TEXT(Sales[[#This Row],[Sale_Date]],"YYYY")</f>
        <v>2023</v>
      </c>
      <c r="D355" s="1" t="str">
        <f>TEXT(Sales[[#This Row],[Sale_Date]],"MMMM")</f>
        <v>September</v>
      </c>
      <c r="E355" s="1" t="str">
        <f>TEXT(Sales[[#This Row],[Sale_Date]],"DDDD")</f>
        <v>Wednesday</v>
      </c>
      <c r="F355" t="s">
        <v>23</v>
      </c>
      <c r="G355" t="s">
        <v>14</v>
      </c>
      <c r="H355" s="2">
        <v>6759.76</v>
      </c>
      <c r="I355">
        <v>45</v>
      </c>
      <c r="J355" t="s">
        <v>28</v>
      </c>
      <c r="K355" s="2">
        <v>1525.13</v>
      </c>
      <c r="L355" s="2">
        <v>1868.32</v>
      </c>
      <c r="M355" t="s">
        <v>16</v>
      </c>
      <c r="N355">
        <v>0.24</v>
      </c>
      <c r="O355" s="2">
        <f>(Sales[[#This Row],[Unit_Price]]-Sales[[#This Row],[Discount]]*Sales[[#This Row],[Unit_Price]])</f>
        <v>1419.9232</v>
      </c>
      <c r="P355" t="s">
        <v>17</v>
      </c>
      <c r="Q355" t="s">
        <v>21</v>
      </c>
      <c r="R355" t="s">
        <v>44</v>
      </c>
    </row>
    <row r="356" spans="1:18" x14ac:dyDescent="0.35">
      <c r="A356">
        <v>1028</v>
      </c>
      <c r="B356" s="1">
        <v>45087</v>
      </c>
      <c r="C356" s="1" t="str">
        <f>TEXT(Sales[[#This Row],[Sale_Date]],"YYYY")</f>
        <v>2023</v>
      </c>
      <c r="D356" s="1" t="str">
        <f>TEXT(Sales[[#This Row],[Sale_Date]],"MMMM")</f>
        <v>June</v>
      </c>
      <c r="E356" s="1" t="str">
        <f>TEXT(Sales[[#This Row],[Sale_Date]],"DDDD")</f>
        <v>Saturday</v>
      </c>
      <c r="F356" t="s">
        <v>41</v>
      </c>
      <c r="G356" t="s">
        <v>14</v>
      </c>
      <c r="H356" s="2">
        <v>7987.15</v>
      </c>
      <c r="I356">
        <v>2</v>
      </c>
      <c r="J356" t="s">
        <v>15</v>
      </c>
      <c r="K356" s="2">
        <v>3146.12</v>
      </c>
      <c r="L356" s="2">
        <v>3255.5299999999902</v>
      </c>
      <c r="M356" t="s">
        <v>16</v>
      </c>
      <c r="N356">
        <v>0.06</v>
      </c>
      <c r="O356" s="2">
        <f>(Sales[[#This Row],[Unit_Price]]-Sales[[#This Row],[Discount]]*Sales[[#This Row],[Unit_Price]])</f>
        <v>3060.1981999999907</v>
      </c>
      <c r="P356" t="s">
        <v>26</v>
      </c>
      <c r="Q356" t="s">
        <v>18</v>
      </c>
      <c r="R356" t="s">
        <v>48</v>
      </c>
    </row>
    <row r="357" spans="1:18" x14ac:dyDescent="0.35">
      <c r="A357">
        <v>1064</v>
      </c>
      <c r="B357" s="1">
        <v>45077</v>
      </c>
      <c r="C357" s="1" t="str">
        <f>TEXT(Sales[[#This Row],[Sale_Date]],"YYYY")</f>
        <v>2023</v>
      </c>
      <c r="D357" s="1" t="str">
        <f>TEXT(Sales[[#This Row],[Sale_Date]],"MMMM")</f>
        <v>May</v>
      </c>
      <c r="E357" s="1" t="str">
        <f>TEXT(Sales[[#This Row],[Sale_Date]],"DDDD")</f>
        <v>Wednesday</v>
      </c>
      <c r="F357" t="s">
        <v>23</v>
      </c>
      <c r="G357" t="s">
        <v>24</v>
      </c>
      <c r="H357" s="2">
        <v>2579.63</v>
      </c>
      <c r="I357">
        <v>8</v>
      </c>
      <c r="J357" t="s">
        <v>28</v>
      </c>
      <c r="K357" s="2">
        <v>816.54</v>
      </c>
      <c r="L357" s="2">
        <v>1191.9000000000001</v>
      </c>
      <c r="M357" t="s">
        <v>29</v>
      </c>
      <c r="N357">
        <v>0.03</v>
      </c>
      <c r="O357" s="2">
        <f>(Sales[[#This Row],[Unit_Price]]-Sales[[#This Row],[Discount]]*Sales[[#This Row],[Unit_Price]])</f>
        <v>1156.143</v>
      </c>
      <c r="P357" t="s">
        <v>17</v>
      </c>
      <c r="Q357" t="s">
        <v>21</v>
      </c>
      <c r="R357" t="s">
        <v>27</v>
      </c>
    </row>
    <row r="358" spans="1:18" x14ac:dyDescent="0.35">
      <c r="A358">
        <v>1097</v>
      </c>
      <c r="B358" s="1">
        <v>45011</v>
      </c>
      <c r="C358" s="1" t="str">
        <f>TEXT(Sales[[#This Row],[Sale_Date]],"YYYY")</f>
        <v>2023</v>
      </c>
      <c r="D358" s="1" t="str">
        <f>TEXT(Sales[[#This Row],[Sale_Date]],"MMMM")</f>
        <v>March</v>
      </c>
      <c r="E358" s="1" t="str">
        <f>TEXT(Sales[[#This Row],[Sale_Date]],"DDDD")</f>
        <v>Sunday</v>
      </c>
      <c r="F358" t="s">
        <v>23</v>
      </c>
      <c r="G358" t="s">
        <v>33</v>
      </c>
      <c r="H358" s="2">
        <v>6286.25</v>
      </c>
      <c r="I358">
        <v>7</v>
      </c>
      <c r="J358" t="s">
        <v>28</v>
      </c>
      <c r="K358" s="2">
        <v>1896.35</v>
      </c>
      <c r="L358" s="2">
        <v>2394.1999999999998</v>
      </c>
      <c r="M358" t="s">
        <v>29</v>
      </c>
      <c r="N358">
        <v>0.22</v>
      </c>
      <c r="O358" s="2">
        <f>(Sales[[#This Row],[Unit_Price]]-Sales[[#This Row],[Discount]]*Sales[[#This Row],[Unit_Price]])</f>
        <v>1867.4759999999999</v>
      </c>
      <c r="P358" t="s">
        <v>26</v>
      </c>
      <c r="Q358" t="s">
        <v>18</v>
      </c>
      <c r="R358" t="s">
        <v>49</v>
      </c>
    </row>
    <row r="359" spans="1:18" x14ac:dyDescent="0.35">
      <c r="A359">
        <v>1069</v>
      </c>
      <c r="B359" s="1">
        <v>45073</v>
      </c>
      <c r="C359" s="1" t="str">
        <f>TEXT(Sales[[#This Row],[Sale_Date]],"YYYY")</f>
        <v>2023</v>
      </c>
      <c r="D359" s="1" t="str">
        <f>TEXT(Sales[[#This Row],[Sale_Date]],"MMMM")</f>
        <v>May</v>
      </c>
      <c r="E359" s="1" t="str">
        <f>TEXT(Sales[[#This Row],[Sale_Date]],"DDDD")</f>
        <v>Saturday</v>
      </c>
      <c r="F359" t="s">
        <v>32</v>
      </c>
      <c r="G359" t="s">
        <v>20</v>
      </c>
      <c r="H359" s="2">
        <v>5760.29</v>
      </c>
      <c r="I359">
        <v>44</v>
      </c>
      <c r="J359" t="s">
        <v>34</v>
      </c>
      <c r="K359" s="2">
        <v>1084.73</v>
      </c>
      <c r="L359" s="2">
        <v>1420.9</v>
      </c>
      <c r="M359" t="s">
        <v>16</v>
      </c>
      <c r="N359">
        <v>0.05</v>
      </c>
      <c r="O359" s="2">
        <f>(Sales[[#This Row],[Unit_Price]]-Sales[[#This Row],[Discount]]*Sales[[#This Row],[Unit_Price]])</f>
        <v>1349.855</v>
      </c>
      <c r="P359" t="s">
        <v>30</v>
      </c>
      <c r="Q359" t="s">
        <v>18</v>
      </c>
      <c r="R359" t="s">
        <v>36</v>
      </c>
    </row>
    <row r="360" spans="1:18" x14ac:dyDescent="0.35">
      <c r="A360">
        <v>1061</v>
      </c>
      <c r="B360" s="1">
        <v>45038</v>
      </c>
      <c r="C360" s="1" t="str">
        <f>TEXT(Sales[[#This Row],[Sale_Date]],"YYYY")</f>
        <v>2023</v>
      </c>
      <c r="D360" s="1" t="str">
        <f>TEXT(Sales[[#This Row],[Sale_Date]],"MMMM")</f>
        <v>April</v>
      </c>
      <c r="E360" s="1" t="str">
        <f>TEXT(Sales[[#This Row],[Sale_Date]],"DDDD")</f>
        <v>Saturday</v>
      </c>
      <c r="F360" t="s">
        <v>37</v>
      </c>
      <c r="G360" t="s">
        <v>24</v>
      </c>
      <c r="H360" s="2">
        <v>8345.02</v>
      </c>
      <c r="I360">
        <v>39</v>
      </c>
      <c r="J360" t="s">
        <v>34</v>
      </c>
      <c r="K360" s="2">
        <v>3494.19</v>
      </c>
      <c r="L360" s="2">
        <v>3746</v>
      </c>
      <c r="M360" t="s">
        <v>16</v>
      </c>
      <c r="N360">
        <v>0.25</v>
      </c>
      <c r="O360" s="2">
        <f>(Sales[[#This Row],[Unit_Price]]-Sales[[#This Row],[Discount]]*Sales[[#This Row],[Unit_Price]])</f>
        <v>2809.5</v>
      </c>
      <c r="P360" t="s">
        <v>26</v>
      </c>
      <c r="Q360" t="s">
        <v>21</v>
      </c>
      <c r="R360" t="s">
        <v>38</v>
      </c>
    </row>
    <row r="361" spans="1:18" x14ac:dyDescent="0.35">
      <c r="A361">
        <v>1048</v>
      </c>
      <c r="B361" s="1">
        <v>44962</v>
      </c>
      <c r="C361" s="1" t="str">
        <f>TEXT(Sales[[#This Row],[Sale_Date]],"YYYY")</f>
        <v>2023</v>
      </c>
      <c r="D361" s="1" t="str">
        <f>TEXT(Sales[[#This Row],[Sale_Date]],"MMMM")</f>
        <v>February</v>
      </c>
      <c r="E361" s="1" t="str">
        <f>TEXT(Sales[[#This Row],[Sale_Date]],"DDDD")</f>
        <v>Sunday</v>
      </c>
      <c r="F361" t="s">
        <v>23</v>
      </c>
      <c r="G361" t="s">
        <v>14</v>
      </c>
      <c r="H361" s="2">
        <v>9070.26</v>
      </c>
      <c r="I361">
        <v>42</v>
      </c>
      <c r="J361" t="s">
        <v>34</v>
      </c>
      <c r="K361" s="2">
        <v>4723.83</v>
      </c>
      <c r="L361" s="2">
        <v>5186.1899999999996</v>
      </c>
      <c r="M361" t="s">
        <v>16</v>
      </c>
      <c r="N361">
        <v>0.22</v>
      </c>
      <c r="O361" s="2">
        <f>(Sales[[#This Row],[Unit_Price]]-Sales[[#This Row],[Discount]]*Sales[[#This Row],[Unit_Price]])</f>
        <v>4045.2281999999996</v>
      </c>
      <c r="P361" t="s">
        <v>30</v>
      </c>
      <c r="Q361" t="s">
        <v>18</v>
      </c>
      <c r="R361" t="s">
        <v>44</v>
      </c>
    </row>
    <row r="362" spans="1:18" x14ac:dyDescent="0.35">
      <c r="A362">
        <v>1019</v>
      </c>
      <c r="B362" s="1">
        <v>45211</v>
      </c>
      <c r="C362" s="1" t="str">
        <f>TEXT(Sales[[#This Row],[Sale_Date]],"YYYY")</f>
        <v>2023</v>
      </c>
      <c r="D362" s="1" t="str">
        <f>TEXT(Sales[[#This Row],[Sale_Date]],"MMMM")</f>
        <v>October</v>
      </c>
      <c r="E362" s="1" t="str">
        <f>TEXT(Sales[[#This Row],[Sale_Date]],"DDDD")</f>
        <v>Thursday</v>
      </c>
      <c r="F362" t="s">
        <v>32</v>
      </c>
      <c r="G362" t="s">
        <v>20</v>
      </c>
      <c r="H362" s="2">
        <v>220.35</v>
      </c>
      <c r="I362">
        <v>16</v>
      </c>
      <c r="J362" t="s">
        <v>28</v>
      </c>
      <c r="K362" s="2">
        <v>4977.78</v>
      </c>
      <c r="L362" s="2">
        <v>4995.55</v>
      </c>
      <c r="M362" t="s">
        <v>29</v>
      </c>
      <c r="N362">
        <v>0.25</v>
      </c>
      <c r="O362" s="2">
        <f>(Sales[[#This Row],[Unit_Price]]-Sales[[#This Row],[Discount]]*Sales[[#This Row],[Unit_Price]])</f>
        <v>3746.6625000000004</v>
      </c>
      <c r="P362" t="s">
        <v>30</v>
      </c>
      <c r="Q362" t="s">
        <v>18</v>
      </c>
      <c r="R362" t="s">
        <v>36</v>
      </c>
    </row>
    <row r="363" spans="1:18" x14ac:dyDescent="0.35">
      <c r="A363">
        <v>1004</v>
      </c>
      <c r="B363" s="1">
        <v>45114</v>
      </c>
      <c r="C363" s="1" t="str">
        <f>TEXT(Sales[[#This Row],[Sale_Date]],"YYYY")</f>
        <v>2023</v>
      </c>
      <c r="D363" s="1" t="str">
        <f>TEXT(Sales[[#This Row],[Sale_Date]],"MMMM")</f>
        <v>July</v>
      </c>
      <c r="E363" s="1" t="str">
        <f>TEXT(Sales[[#This Row],[Sale_Date]],"DDDD")</f>
        <v>Friday</v>
      </c>
      <c r="F363" t="s">
        <v>37</v>
      </c>
      <c r="G363" t="s">
        <v>14</v>
      </c>
      <c r="H363" s="2">
        <v>6772.8</v>
      </c>
      <c r="I363">
        <v>35</v>
      </c>
      <c r="J363" t="s">
        <v>28</v>
      </c>
      <c r="K363" s="2">
        <v>2278.87</v>
      </c>
      <c r="L363" s="2">
        <v>2646.5299999999902</v>
      </c>
      <c r="M363" t="s">
        <v>16</v>
      </c>
      <c r="N363">
        <v>0.09</v>
      </c>
      <c r="O363" s="2">
        <f>(Sales[[#This Row],[Unit_Price]]-Sales[[#This Row],[Discount]]*Sales[[#This Row],[Unit_Price]])</f>
        <v>2408.3422999999912</v>
      </c>
      <c r="P363" t="s">
        <v>26</v>
      </c>
      <c r="Q363" t="s">
        <v>18</v>
      </c>
      <c r="R363" t="s">
        <v>39</v>
      </c>
    </row>
    <row r="364" spans="1:18" x14ac:dyDescent="0.35">
      <c r="A364">
        <v>1035</v>
      </c>
      <c r="B364" s="1">
        <v>45008</v>
      </c>
      <c r="C364" s="1" t="str">
        <f>TEXT(Sales[[#This Row],[Sale_Date]],"YYYY")</f>
        <v>2023</v>
      </c>
      <c r="D364" s="1" t="str">
        <f>TEXT(Sales[[#This Row],[Sale_Date]],"MMMM")</f>
        <v>March</v>
      </c>
      <c r="E364" s="1" t="str">
        <f>TEXT(Sales[[#This Row],[Sale_Date]],"DDDD")</f>
        <v>Thursday</v>
      </c>
      <c r="F364" t="s">
        <v>23</v>
      </c>
      <c r="G364" t="s">
        <v>33</v>
      </c>
      <c r="H364" s="2">
        <v>613.16999999999996</v>
      </c>
      <c r="I364">
        <v>30</v>
      </c>
      <c r="J364" t="s">
        <v>28</v>
      </c>
      <c r="K364" s="2">
        <v>1300.03</v>
      </c>
      <c r="L364" s="2">
        <v>1745.52</v>
      </c>
      <c r="M364" t="s">
        <v>29</v>
      </c>
      <c r="N364">
        <v>0.09</v>
      </c>
      <c r="O364" s="2">
        <f>(Sales[[#This Row],[Unit_Price]]-Sales[[#This Row],[Discount]]*Sales[[#This Row],[Unit_Price]])</f>
        <v>1588.4232</v>
      </c>
      <c r="P364" t="s">
        <v>17</v>
      </c>
      <c r="Q364" t="s">
        <v>21</v>
      </c>
      <c r="R364" t="s">
        <v>49</v>
      </c>
    </row>
    <row r="365" spans="1:18" x14ac:dyDescent="0.35">
      <c r="A365">
        <v>1064</v>
      </c>
      <c r="B365" s="1">
        <v>44928</v>
      </c>
      <c r="C365" s="1" t="str">
        <f>TEXT(Sales[[#This Row],[Sale_Date]],"YYYY")</f>
        <v>2023</v>
      </c>
      <c r="D365" s="1" t="str">
        <f>TEXT(Sales[[#This Row],[Sale_Date]],"MMMM")</f>
        <v>January</v>
      </c>
      <c r="E365" s="1" t="str">
        <f>TEXT(Sales[[#This Row],[Sale_Date]],"DDDD")</f>
        <v>Monday</v>
      </c>
      <c r="F365" t="s">
        <v>23</v>
      </c>
      <c r="G365" t="s">
        <v>24</v>
      </c>
      <c r="H365" s="2">
        <v>5533.7</v>
      </c>
      <c r="I365">
        <v>10</v>
      </c>
      <c r="J365" t="s">
        <v>34</v>
      </c>
      <c r="K365" s="2">
        <v>2242.0100000000002</v>
      </c>
      <c r="L365" s="2">
        <v>2282.23</v>
      </c>
      <c r="M365" t="s">
        <v>16</v>
      </c>
      <c r="N365">
        <v>0.2</v>
      </c>
      <c r="O365" s="2">
        <f>(Sales[[#This Row],[Unit_Price]]-Sales[[#This Row],[Discount]]*Sales[[#This Row],[Unit_Price]])</f>
        <v>1825.7840000000001</v>
      </c>
      <c r="P365" t="s">
        <v>30</v>
      </c>
      <c r="Q365" t="s">
        <v>18</v>
      </c>
      <c r="R365" t="s">
        <v>27</v>
      </c>
    </row>
    <row r="366" spans="1:18" x14ac:dyDescent="0.35">
      <c r="A366">
        <v>1049</v>
      </c>
      <c r="B366" s="1">
        <v>45229</v>
      </c>
      <c r="C366" s="1" t="str">
        <f>TEXT(Sales[[#This Row],[Sale_Date]],"YYYY")</f>
        <v>2023</v>
      </c>
      <c r="D366" s="1" t="str">
        <f>TEXT(Sales[[#This Row],[Sale_Date]],"MMMM")</f>
        <v>October</v>
      </c>
      <c r="E366" s="1" t="str">
        <f>TEXT(Sales[[#This Row],[Sale_Date]],"DDDD")</f>
        <v>Monday</v>
      </c>
      <c r="F366" t="s">
        <v>41</v>
      </c>
      <c r="G366" t="s">
        <v>33</v>
      </c>
      <c r="H366" s="2">
        <v>2947.56</v>
      </c>
      <c r="I366">
        <v>38</v>
      </c>
      <c r="J366" t="s">
        <v>25</v>
      </c>
      <c r="K366" s="2">
        <v>4243.9799999999996</v>
      </c>
      <c r="L366" s="2">
        <v>4474.5099999999902</v>
      </c>
      <c r="M366" t="s">
        <v>29</v>
      </c>
      <c r="N366">
        <v>0.01</v>
      </c>
      <c r="O366" s="2">
        <f>(Sales[[#This Row],[Unit_Price]]-Sales[[#This Row],[Discount]]*Sales[[#This Row],[Unit_Price]])</f>
        <v>4429.7648999999901</v>
      </c>
      <c r="P366" t="s">
        <v>30</v>
      </c>
      <c r="Q366" t="s">
        <v>18</v>
      </c>
      <c r="R366" t="s">
        <v>51</v>
      </c>
    </row>
    <row r="367" spans="1:18" x14ac:dyDescent="0.35">
      <c r="A367">
        <v>1017</v>
      </c>
      <c r="B367" s="1">
        <v>45123</v>
      </c>
      <c r="C367" s="1" t="str">
        <f>TEXT(Sales[[#This Row],[Sale_Date]],"YYYY")</f>
        <v>2023</v>
      </c>
      <c r="D367" s="1" t="str">
        <f>TEXT(Sales[[#This Row],[Sale_Date]],"MMMM")</f>
        <v>July</v>
      </c>
      <c r="E367" s="1" t="str">
        <f>TEXT(Sales[[#This Row],[Sale_Date]],"DDDD")</f>
        <v>Sunday</v>
      </c>
      <c r="F367" t="s">
        <v>41</v>
      </c>
      <c r="G367" t="s">
        <v>24</v>
      </c>
      <c r="H367" s="2">
        <v>3137.09</v>
      </c>
      <c r="I367">
        <v>18</v>
      </c>
      <c r="J367" t="s">
        <v>15</v>
      </c>
      <c r="K367" s="2">
        <v>1069.73</v>
      </c>
      <c r="L367" s="2">
        <v>1180.04</v>
      </c>
      <c r="M367" t="s">
        <v>16</v>
      </c>
      <c r="N367">
        <v>0.22</v>
      </c>
      <c r="O367" s="2">
        <f>(Sales[[#This Row],[Unit_Price]]-Sales[[#This Row],[Discount]]*Sales[[#This Row],[Unit_Price]])</f>
        <v>920.43119999999999</v>
      </c>
      <c r="P367" t="s">
        <v>26</v>
      </c>
      <c r="Q367" t="s">
        <v>18</v>
      </c>
      <c r="R367" t="s">
        <v>42</v>
      </c>
    </row>
    <row r="368" spans="1:18" x14ac:dyDescent="0.35">
      <c r="A368">
        <v>1044</v>
      </c>
      <c r="B368" s="1">
        <v>44937</v>
      </c>
      <c r="C368" s="1" t="str">
        <f>TEXT(Sales[[#This Row],[Sale_Date]],"YYYY")</f>
        <v>2023</v>
      </c>
      <c r="D368" s="1" t="str">
        <f>TEXT(Sales[[#This Row],[Sale_Date]],"MMMM")</f>
        <v>January</v>
      </c>
      <c r="E368" s="1" t="str">
        <f>TEXT(Sales[[#This Row],[Sale_Date]],"DDDD")</f>
        <v>Wednesday</v>
      </c>
      <c r="F368" t="s">
        <v>37</v>
      </c>
      <c r="G368" t="s">
        <v>14</v>
      </c>
      <c r="H368" s="2">
        <v>3594.29</v>
      </c>
      <c r="I368">
        <v>5</v>
      </c>
      <c r="J368" t="s">
        <v>25</v>
      </c>
      <c r="K368" s="2">
        <v>4762.87</v>
      </c>
      <c r="L368" s="2">
        <v>5050.46</v>
      </c>
      <c r="M368" t="s">
        <v>29</v>
      </c>
      <c r="N368">
        <v>0.25</v>
      </c>
      <c r="O368" s="2">
        <f>(Sales[[#This Row],[Unit_Price]]-Sales[[#This Row],[Discount]]*Sales[[#This Row],[Unit_Price]])</f>
        <v>3787.8450000000003</v>
      </c>
      <c r="P368" t="s">
        <v>17</v>
      </c>
      <c r="Q368" t="s">
        <v>21</v>
      </c>
      <c r="R368" t="s">
        <v>39</v>
      </c>
    </row>
    <row r="369" spans="1:18" x14ac:dyDescent="0.35">
      <c r="A369">
        <v>1092</v>
      </c>
      <c r="B369" s="1">
        <v>45160</v>
      </c>
      <c r="C369" s="1" t="str">
        <f>TEXT(Sales[[#This Row],[Sale_Date]],"YYYY")</f>
        <v>2023</v>
      </c>
      <c r="D369" s="1" t="str">
        <f>TEXT(Sales[[#This Row],[Sale_Date]],"MMMM")</f>
        <v>August</v>
      </c>
      <c r="E369" s="1" t="str">
        <f>TEXT(Sales[[#This Row],[Sale_Date]],"DDDD")</f>
        <v>Tuesday</v>
      </c>
      <c r="F369" t="s">
        <v>23</v>
      </c>
      <c r="G369" t="s">
        <v>33</v>
      </c>
      <c r="H369" s="2">
        <v>6250.8</v>
      </c>
      <c r="I369">
        <v>29</v>
      </c>
      <c r="J369" t="s">
        <v>28</v>
      </c>
      <c r="K369" s="2">
        <v>1742.24</v>
      </c>
      <c r="L369" s="2">
        <v>2070.52</v>
      </c>
      <c r="M369" t="s">
        <v>29</v>
      </c>
      <c r="N369">
        <v>0.12</v>
      </c>
      <c r="O369" s="2">
        <f>(Sales[[#This Row],[Unit_Price]]-Sales[[#This Row],[Discount]]*Sales[[#This Row],[Unit_Price]])</f>
        <v>1822.0576000000001</v>
      </c>
      <c r="P369" t="s">
        <v>17</v>
      </c>
      <c r="Q369" t="s">
        <v>18</v>
      </c>
      <c r="R369" t="s">
        <v>49</v>
      </c>
    </row>
    <row r="370" spans="1:18" x14ac:dyDescent="0.35">
      <c r="A370">
        <v>1030</v>
      </c>
      <c r="B370" s="1">
        <v>45121</v>
      </c>
      <c r="C370" s="1" t="str">
        <f>TEXT(Sales[[#This Row],[Sale_Date]],"YYYY")</f>
        <v>2023</v>
      </c>
      <c r="D370" s="1" t="str">
        <f>TEXT(Sales[[#This Row],[Sale_Date]],"MMMM")</f>
        <v>July</v>
      </c>
      <c r="E370" s="1" t="str">
        <f>TEXT(Sales[[#This Row],[Sale_Date]],"DDDD")</f>
        <v>Friday</v>
      </c>
      <c r="F370" t="s">
        <v>13</v>
      </c>
      <c r="G370" t="s">
        <v>33</v>
      </c>
      <c r="H370" s="2">
        <v>3407.09</v>
      </c>
      <c r="I370">
        <v>39</v>
      </c>
      <c r="J370" t="s">
        <v>28</v>
      </c>
      <c r="K370" s="2">
        <v>4929.7299999999996</v>
      </c>
      <c r="L370" s="2">
        <v>5088.0199999999904</v>
      </c>
      <c r="M370" t="s">
        <v>29</v>
      </c>
      <c r="N370">
        <v>0.23</v>
      </c>
      <c r="O370" s="2">
        <f>(Sales[[#This Row],[Unit_Price]]-Sales[[#This Row],[Discount]]*Sales[[#This Row],[Unit_Price]])</f>
        <v>3917.7753999999923</v>
      </c>
      <c r="P370" t="s">
        <v>26</v>
      </c>
      <c r="Q370" t="s">
        <v>21</v>
      </c>
      <c r="R370" t="s">
        <v>45</v>
      </c>
    </row>
    <row r="371" spans="1:18" x14ac:dyDescent="0.35">
      <c r="A371">
        <v>1093</v>
      </c>
      <c r="B371" s="1">
        <v>45045</v>
      </c>
      <c r="C371" s="1" t="str">
        <f>TEXT(Sales[[#This Row],[Sale_Date]],"YYYY")</f>
        <v>2023</v>
      </c>
      <c r="D371" s="1" t="str">
        <f>TEXT(Sales[[#This Row],[Sale_Date]],"MMMM")</f>
        <v>April</v>
      </c>
      <c r="E371" s="1" t="str">
        <f>TEXT(Sales[[#This Row],[Sale_Date]],"DDDD")</f>
        <v>Saturday</v>
      </c>
      <c r="F371" t="s">
        <v>41</v>
      </c>
      <c r="G371" t="s">
        <v>14</v>
      </c>
      <c r="H371" s="2">
        <v>7353.72</v>
      </c>
      <c r="I371">
        <v>34</v>
      </c>
      <c r="J371" t="s">
        <v>25</v>
      </c>
      <c r="K371" s="2">
        <v>4201.1099999999997</v>
      </c>
      <c r="L371" s="2">
        <v>4436.5</v>
      </c>
      <c r="M371" t="s">
        <v>29</v>
      </c>
      <c r="N371">
        <v>0.05</v>
      </c>
      <c r="O371" s="2">
        <f>(Sales[[#This Row],[Unit_Price]]-Sales[[#This Row],[Discount]]*Sales[[#This Row],[Unit_Price]])</f>
        <v>4214.6750000000002</v>
      </c>
      <c r="P371" t="s">
        <v>17</v>
      </c>
      <c r="Q371" t="s">
        <v>18</v>
      </c>
      <c r="R371" t="s">
        <v>48</v>
      </c>
    </row>
    <row r="372" spans="1:18" x14ac:dyDescent="0.35">
      <c r="A372">
        <v>1046</v>
      </c>
      <c r="B372" s="1">
        <v>44946</v>
      </c>
      <c r="C372" s="1" t="str">
        <f>TEXT(Sales[[#This Row],[Sale_Date]],"YYYY")</f>
        <v>2023</v>
      </c>
      <c r="D372" s="1" t="str">
        <f>TEXT(Sales[[#This Row],[Sale_Date]],"MMMM")</f>
        <v>January</v>
      </c>
      <c r="E372" s="1" t="str">
        <f>TEXT(Sales[[#This Row],[Sale_Date]],"DDDD")</f>
        <v>Friday</v>
      </c>
      <c r="F372" t="s">
        <v>37</v>
      </c>
      <c r="G372" t="s">
        <v>33</v>
      </c>
      <c r="H372" s="2">
        <v>4104.82</v>
      </c>
      <c r="I372">
        <v>43</v>
      </c>
      <c r="J372" t="s">
        <v>28</v>
      </c>
      <c r="K372" s="2">
        <v>4052.42</v>
      </c>
      <c r="L372" s="2">
        <v>4199.3</v>
      </c>
      <c r="M372" t="s">
        <v>29</v>
      </c>
      <c r="N372">
        <v>0.1</v>
      </c>
      <c r="O372" s="2">
        <f>(Sales[[#This Row],[Unit_Price]]-Sales[[#This Row],[Discount]]*Sales[[#This Row],[Unit_Price]])</f>
        <v>3779.37</v>
      </c>
      <c r="P372" t="s">
        <v>26</v>
      </c>
      <c r="Q372" t="s">
        <v>21</v>
      </c>
      <c r="R372" t="s">
        <v>47</v>
      </c>
    </row>
    <row r="373" spans="1:18" x14ac:dyDescent="0.35">
      <c r="A373">
        <v>1006</v>
      </c>
      <c r="B373" s="1">
        <v>45187</v>
      </c>
      <c r="C373" s="1" t="str">
        <f>TEXT(Sales[[#This Row],[Sale_Date]],"YYYY")</f>
        <v>2023</v>
      </c>
      <c r="D373" s="1" t="str">
        <f>TEXT(Sales[[#This Row],[Sale_Date]],"MMMM")</f>
        <v>September</v>
      </c>
      <c r="E373" s="1" t="str">
        <f>TEXT(Sales[[#This Row],[Sale_Date]],"DDDD")</f>
        <v>Monday</v>
      </c>
      <c r="F373" t="s">
        <v>23</v>
      </c>
      <c r="G373" t="s">
        <v>20</v>
      </c>
      <c r="H373" s="2">
        <v>776.7</v>
      </c>
      <c r="I373">
        <v>45</v>
      </c>
      <c r="J373" t="s">
        <v>15</v>
      </c>
      <c r="K373" s="2">
        <v>1623.63</v>
      </c>
      <c r="L373" s="2">
        <v>1814.63</v>
      </c>
      <c r="M373" t="s">
        <v>29</v>
      </c>
      <c r="N373">
        <v>0.28999999999999998</v>
      </c>
      <c r="O373" s="2">
        <f>(Sales[[#This Row],[Unit_Price]]-Sales[[#This Row],[Discount]]*Sales[[#This Row],[Unit_Price]])</f>
        <v>1288.3873000000001</v>
      </c>
      <c r="P373" t="s">
        <v>26</v>
      </c>
      <c r="Q373" t="s">
        <v>21</v>
      </c>
      <c r="R373" t="s">
        <v>46</v>
      </c>
    </row>
    <row r="374" spans="1:18" x14ac:dyDescent="0.35">
      <c r="A374">
        <v>1099</v>
      </c>
      <c r="B374" s="1">
        <v>45219</v>
      </c>
      <c r="C374" s="1" t="str">
        <f>TEXT(Sales[[#This Row],[Sale_Date]],"YYYY")</f>
        <v>2023</v>
      </c>
      <c r="D374" s="1" t="str">
        <f>TEXT(Sales[[#This Row],[Sale_Date]],"MMMM")</f>
        <v>October</v>
      </c>
      <c r="E374" s="1" t="str">
        <f>TEXT(Sales[[#This Row],[Sale_Date]],"DDDD")</f>
        <v>Friday</v>
      </c>
      <c r="F374" t="s">
        <v>23</v>
      </c>
      <c r="G374" t="s">
        <v>24</v>
      </c>
      <c r="H374" s="2">
        <v>7859.22</v>
      </c>
      <c r="I374">
        <v>23</v>
      </c>
      <c r="J374" t="s">
        <v>28</v>
      </c>
      <c r="K374" s="2">
        <v>93.45</v>
      </c>
      <c r="L374" s="2">
        <v>181.62</v>
      </c>
      <c r="M374" t="s">
        <v>16</v>
      </c>
      <c r="N374">
        <v>0.3</v>
      </c>
      <c r="O374" s="2">
        <f>(Sales[[#This Row],[Unit_Price]]-Sales[[#This Row],[Discount]]*Sales[[#This Row],[Unit_Price]])</f>
        <v>127.13400000000001</v>
      </c>
      <c r="P374" t="s">
        <v>26</v>
      </c>
      <c r="Q374" t="s">
        <v>21</v>
      </c>
      <c r="R374" t="s">
        <v>27</v>
      </c>
    </row>
    <row r="375" spans="1:18" x14ac:dyDescent="0.35">
      <c r="A375">
        <v>1037</v>
      </c>
      <c r="B375" s="1">
        <v>45182</v>
      </c>
      <c r="C375" s="1" t="str">
        <f>TEXT(Sales[[#This Row],[Sale_Date]],"YYYY")</f>
        <v>2023</v>
      </c>
      <c r="D375" s="1" t="str">
        <f>TEXT(Sales[[#This Row],[Sale_Date]],"MMMM")</f>
        <v>September</v>
      </c>
      <c r="E375" s="1" t="str">
        <f>TEXT(Sales[[#This Row],[Sale_Date]],"DDDD")</f>
        <v>Wednesday</v>
      </c>
      <c r="F375" t="s">
        <v>13</v>
      </c>
      <c r="G375" t="s">
        <v>24</v>
      </c>
      <c r="H375" s="2">
        <v>2929.01</v>
      </c>
      <c r="I375">
        <v>5</v>
      </c>
      <c r="J375" t="s">
        <v>15</v>
      </c>
      <c r="K375" s="2">
        <v>1941.56</v>
      </c>
      <c r="L375" s="2">
        <v>2385.48</v>
      </c>
      <c r="M375" t="s">
        <v>16</v>
      </c>
      <c r="N375">
        <v>0.15</v>
      </c>
      <c r="O375" s="2">
        <f>(Sales[[#This Row],[Unit_Price]]-Sales[[#This Row],[Discount]]*Sales[[#This Row],[Unit_Price]])</f>
        <v>2027.6579999999999</v>
      </c>
      <c r="P375" t="s">
        <v>30</v>
      </c>
      <c r="Q375" t="s">
        <v>18</v>
      </c>
      <c r="R375" t="s">
        <v>31</v>
      </c>
    </row>
    <row r="376" spans="1:18" x14ac:dyDescent="0.35">
      <c r="A376">
        <v>1024</v>
      </c>
      <c r="B376" s="1">
        <v>45148</v>
      </c>
      <c r="C376" s="1" t="str">
        <f>TEXT(Sales[[#This Row],[Sale_Date]],"YYYY")</f>
        <v>2023</v>
      </c>
      <c r="D376" s="1" t="str">
        <f>TEXT(Sales[[#This Row],[Sale_Date]],"MMMM")</f>
        <v>August</v>
      </c>
      <c r="E376" s="1" t="str">
        <f>TEXT(Sales[[#This Row],[Sale_Date]],"DDDD")</f>
        <v>Thursday</v>
      </c>
      <c r="F376" t="s">
        <v>37</v>
      </c>
      <c r="G376" t="s">
        <v>24</v>
      </c>
      <c r="H376" s="2">
        <v>4384.3900000000003</v>
      </c>
      <c r="I376">
        <v>30</v>
      </c>
      <c r="J376" t="s">
        <v>25</v>
      </c>
      <c r="K376" s="2">
        <v>1543.96</v>
      </c>
      <c r="L376" s="2">
        <v>1558.87</v>
      </c>
      <c r="M376" t="s">
        <v>16</v>
      </c>
      <c r="N376">
        <v>0.28000000000000003</v>
      </c>
      <c r="O376" s="2">
        <f>(Sales[[#This Row],[Unit_Price]]-Sales[[#This Row],[Discount]]*Sales[[#This Row],[Unit_Price]])</f>
        <v>1122.3863999999999</v>
      </c>
      <c r="P376" t="s">
        <v>30</v>
      </c>
      <c r="Q376" t="s">
        <v>18</v>
      </c>
      <c r="R376" t="s">
        <v>38</v>
      </c>
    </row>
    <row r="377" spans="1:18" x14ac:dyDescent="0.35">
      <c r="A377">
        <v>1093</v>
      </c>
      <c r="B377" s="1">
        <v>45152</v>
      </c>
      <c r="C377" s="1" t="str">
        <f>TEXT(Sales[[#This Row],[Sale_Date]],"YYYY")</f>
        <v>2023</v>
      </c>
      <c r="D377" s="1" t="str">
        <f>TEXT(Sales[[#This Row],[Sale_Date]],"MMMM")</f>
        <v>August</v>
      </c>
      <c r="E377" s="1" t="str">
        <f>TEXT(Sales[[#This Row],[Sale_Date]],"DDDD")</f>
        <v>Monday</v>
      </c>
      <c r="F377" t="s">
        <v>23</v>
      </c>
      <c r="G377" t="s">
        <v>20</v>
      </c>
      <c r="H377" s="2">
        <v>6885.89</v>
      </c>
      <c r="I377">
        <v>6</v>
      </c>
      <c r="J377" t="s">
        <v>25</v>
      </c>
      <c r="K377" s="2">
        <v>235.12</v>
      </c>
      <c r="L377" s="2">
        <v>677.5</v>
      </c>
      <c r="M377" t="s">
        <v>16</v>
      </c>
      <c r="N377">
        <v>0.16</v>
      </c>
      <c r="O377" s="2">
        <f>(Sales[[#This Row],[Unit_Price]]-Sales[[#This Row],[Discount]]*Sales[[#This Row],[Unit_Price]])</f>
        <v>569.1</v>
      </c>
      <c r="P377" t="s">
        <v>30</v>
      </c>
      <c r="Q377" t="s">
        <v>18</v>
      </c>
      <c r="R377" t="s">
        <v>46</v>
      </c>
    </row>
    <row r="378" spans="1:18" x14ac:dyDescent="0.35">
      <c r="A378">
        <v>1046</v>
      </c>
      <c r="B378" s="1">
        <v>44979</v>
      </c>
      <c r="C378" s="1" t="str">
        <f>TEXT(Sales[[#This Row],[Sale_Date]],"YYYY")</f>
        <v>2023</v>
      </c>
      <c r="D378" s="1" t="str">
        <f>TEXT(Sales[[#This Row],[Sale_Date]],"MMMM")</f>
        <v>February</v>
      </c>
      <c r="E378" s="1" t="str">
        <f>TEXT(Sales[[#This Row],[Sale_Date]],"DDDD")</f>
        <v>Wednesday</v>
      </c>
      <c r="F378" t="s">
        <v>41</v>
      </c>
      <c r="G378" t="s">
        <v>24</v>
      </c>
      <c r="H378" s="2">
        <v>3391.32</v>
      </c>
      <c r="I378">
        <v>46</v>
      </c>
      <c r="J378" t="s">
        <v>28</v>
      </c>
      <c r="K378" s="2">
        <v>2551.56</v>
      </c>
      <c r="L378" s="2">
        <v>2841.68</v>
      </c>
      <c r="M378" t="s">
        <v>29</v>
      </c>
      <c r="N378">
        <v>0.09</v>
      </c>
      <c r="O378" s="2">
        <f>(Sales[[#This Row],[Unit_Price]]-Sales[[#This Row],[Discount]]*Sales[[#This Row],[Unit_Price]])</f>
        <v>2585.9287999999997</v>
      </c>
      <c r="P378" t="s">
        <v>26</v>
      </c>
      <c r="Q378" t="s">
        <v>21</v>
      </c>
      <c r="R378" t="s">
        <v>42</v>
      </c>
    </row>
    <row r="379" spans="1:18" x14ac:dyDescent="0.35">
      <c r="A379">
        <v>1053</v>
      </c>
      <c r="B379" s="1">
        <v>45281</v>
      </c>
      <c r="C379" s="1" t="str">
        <f>TEXT(Sales[[#This Row],[Sale_Date]],"YYYY")</f>
        <v>2023</v>
      </c>
      <c r="D379" s="1" t="str">
        <f>TEXT(Sales[[#This Row],[Sale_Date]],"MMMM")</f>
        <v>December</v>
      </c>
      <c r="E379" s="1" t="str">
        <f>TEXT(Sales[[#This Row],[Sale_Date]],"DDDD")</f>
        <v>Thursday</v>
      </c>
      <c r="F379" t="s">
        <v>13</v>
      </c>
      <c r="G379" t="s">
        <v>14</v>
      </c>
      <c r="H379" s="2">
        <v>660.2</v>
      </c>
      <c r="I379">
        <v>44</v>
      </c>
      <c r="J379" t="s">
        <v>15</v>
      </c>
      <c r="K379" s="2">
        <v>2045</v>
      </c>
      <c r="L379" s="2">
        <v>2217.5100000000002</v>
      </c>
      <c r="M379" t="s">
        <v>16</v>
      </c>
      <c r="N379">
        <v>0.08</v>
      </c>
      <c r="O379" s="2">
        <f>(Sales[[#This Row],[Unit_Price]]-Sales[[#This Row],[Discount]]*Sales[[#This Row],[Unit_Price]])</f>
        <v>2040.1092000000001</v>
      </c>
      <c r="P379" t="s">
        <v>30</v>
      </c>
      <c r="Q379" t="s">
        <v>18</v>
      </c>
      <c r="R379" t="s">
        <v>19</v>
      </c>
    </row>
    <row r="380" spans="1:18" x14ac:dyDescent="0.35">
      <c r="A380">
        <v>1095</v>
      </c>
      <c r="B380" s="1">
        <v>45268</v>
      </c>
      <c r="C380" s="1" t="str">
        <f>TEXT(Sales[[#This Row],[Sale_Date]],"YYYY")</f>
        <v>2023</v>
      </c>
      <c r="D380" s="1" t="str">
        <f>TEXT(Sales[[#This Row],[Sale_Date]],"MMMM")</f>
        <v>December</v>
      </c>
      <c r="E380" s="1" t="str">
        <f>TEXT(Sales[[#This Row],[Sale_Date]],"DDDD")</f>
        <v>Friday</v>
      </c>
      <c r="F380" t="s">
        <v>37</v>
      </c>
      <c r="G380" t="s">
        <v>33</v>
      </c>
      <c r="H380" s="2">
        <v>3801.82</v>
      </c>
      <c r="I380">
        <v>4</v>
      </c>
      <c r="J380" t="s">
        <v>28</v>
      </c>
      <c r="K380" s="2">
        <v>3191.05</v>
      </c>
      <c r="L380" s="2">
        <v>3555.35</v>
      </c>
      <c r="M380" t="s">
        <v>29</v>
      </c>
      <c r="N380">
        <v>0.28000000000000003</v>
      </c>
      <c r="O380" s="2">
        <f>(Sales[[#This Row],[Unit_Price]]-Sales[[#This Row],[Discount]]*Sales[[#This Row],[Unit_Price]])</f>
        <v>2559.8519999999999</v>
      </c>
      <c r="P380" t="s">
        <v>30</v>
      </c>
      <c r="Q380" t="s">
        <v>18</v>
      </c>
      <c r="R380" t="s">
        <v>47</v>
      </c>
    </row>
    <row r="381" spans="1:18" x14ac:dyDescent="0.35">
      <c r="A381">
        <v>1099</v>
      </c>
      <c r="B381" s="1">
        <v>45290</v>
      </c>
      <c r="C381" s="1" t="str">
        <f>TEXT(Sales[[#This Row],[Sale_Date]],"YYYY")</f>
        <v>2023</v>
      </c>
      <c r="D381" s="1" t="str">
        <f>TEXT(Sales[[#This Row],[Sale_Date]],"MMMM")</f>
        <v>December</v>
      </c>
      <c r="E381" s="1" t="str">
        <f>TEXT(Sales[[#This Row],[Sale_Date]],"DDDD")</f>
        <v>Saturday</v>
      </c>
      <c r="F381" t="s">
        <v>13</v>
      </c>
      <c r="G381" t="s">
        <v>20</v>
      </c>
      <c r="H381" s="2">
        <v>9450.0400000000009</v>
      </c>
      <c r="I381">
        <v>29</v>
      </c>
      <c r="J381" t="s">
        <v>34</v>
      </c>
      <c r="K381" s="2">
        <v>3124.87</v>
      </c>
      <c r="L381" s="2">
        <v>3383.67</v>
      </c>
      <c r="M381" t="s">
        <v>29</v>
      </c>
      <c r="N381">
        <v>0.05</v>
      </c>
      <c r="O381" s="2">
        <f>(Sales[[#This Row],[Unit_Price]]-Sales[[#This Row],[Discount]]*Sales[[#This Row],[Unit_Price]])</f>
        <v>3214.4865</v>
      </c>
      <c r="P381" t="s">
        <v>30</v>
      </c>
      <c r="Q381" t="s">
        <v>21</v>
      </c>
      <c r="R381" t="s">
        <v>22</v>
      </c>
    </row>
    <row r="382" spans="1:18" x14ac:dyDescent="0.35">
      <c r="A382">
        <v>1060</v>
      </c>
      <c r="B382" s="1">
        <v>45206</v>
      </c>
      <c r="C382" s="1" t="str">
        <f>TEXT(Sales[[#This Row],[Sale_Date]],"YYYY")</f>
        <v>2023</v>
      </c>
      <c r="D382" s="1" t="str">
        <f>TEXT(Sales[[#This Row],[Sale_Date]],"MMMM")</f>
        <v>October</v>
      </c>
      <c r="E382" s="1" t="str">
        <f>TEXT(Sales[[#This Row],[Sale_Date]],"DDDD")</f>
        <v>Saturday</v>
      </c>
      <c r="F382" t="s">
        <v>41</v>
      </c>
      <c r="G382" t="s">
        <v>24</v>
      </c>
      <c r="H382" s="2">
        <v>6453.17</v>
      </c>
      <c r="I382">
        <v>23</v>
      </c>
      <c r="J382" t="s">
        <v>34</v>
      </c>
      <c r="K382" s="2">
        <v>647.70000000000005</v>
      </c>
      <c r="L382" s="2">
        <v>902.26</v>
      </c>
      <c r="M382" t="s">
        <v>29</v>
      </c>
      <c r="N382">
        <v>0.17</v>
      </c>
      <c r="O382" s="2">
        <f>(Sales[[#This Row],[Unit_Price]]-Sales[[#This Row],[Discount]]*Sales[[#This Row],[Unit_Price]])</f>
        <v>748.87580000000003</v>
      </c>
      <c r="P382" t="s">
        <v>26</v>
      </c>
      <c r="Q382" t="s">
        <v>18</v>
      </c>
      <c r="R382" t="s">
        <v>42</v>
      </c>
    </row>
    <row r="383" spans="1:18" x14ac:dyDescent="0.35">
      <c r="A383">
        <v>1097</v>
      </c>
      <c r="B383" s="1">
        <v>45007</v>
      </c>
      <c r="C383" s="1" t="str">
        <f>TEXT(Sales[[#This Row],[Sale_Date]],"YYYY")</f>
        <v>2023</v>
      </c>
      <c r="D383" s="1" t="str">
        <f>TEXT(Sales[[#This Row],[Sale_Date]],"MMMM")</f>
        <v>March</v>
      </c>
      <c r="E383" s="1" t="str">
        <f>TEXT(Sales[[#This Row],[Sale_Date]],"DDDD")</f>
        <v>Wednesday</v>
      </c>
      <c r="F383" t="s">
        <v>37</v>
      </c>
      <c r="G383" t="s">
        <v>14</v>
      </c>
      <c r="H383" s="2">
        <v>6747.64</v>
      </c>
      <c r="I383">
        <v>6</v>
      </c>
      <c r="J383" t="s">
        <v>34</v>
      </c>
      <c r="K383" s="2">
        <v>4885.9799999999996</v>
      </c>
      <c r="L383" s="2">
        <v>4949.95</v>
      </c>
      <c r="M383" t="s">
        <v>16</v>
      </c>
      <c r="N383">
        <v>0.17</v>
      </c>
      <c r="O383" s="2">
        <f>(Sales[[#This Row],[Unit_Price]]-Sales[[#This Row],[Discount]]*Sales[[#This Row],[Unit_Price]])</f>
        <v>4108.4584999999997</v>
      </c>
      <c r="P383" t="s">
        <v>26</v>
      </c>
      <c r="Q383" t="s">
        <v>18</v>
      </c>
      <c r="R383" t="s">
        <v>39</v>
      </c>
    </row>
    <row r="384" spans="1:18" x14ac:dyDescent="0.35">
      <c r="A384">
        <v>1063</v>
      </c>
      <c r="B384" s="1">
        <v>45128</v>
      </c>
      <c r="C384" s="1" t="str">
        <f>TEXT(Sales[[#This Row],[Sale_Date]],"YYYY")</f>
        <v>2023</v>
      </c>
      <c r="D384" s="1" t="str">
        <f>TEXT(Sales[[#This Row],[Sale_Date]],"MMMM")</f>
        <v>July</v>
      </c>
      <c r="E384" s="1" t="str">
        <f>TEXT(Sales[[#This Row],[Sale_Date]],"DDDD")</f>
        <v>Friday</v>
      </c>
      <c r="F384" t="s">
        <v>13</v>
      </c>
      <c r="G384" t="s">
        <v>33</v>
      </c>
      <c r="H384" s="2">
        <v>6359.59</v>
      </c>
      <c r="I384">
        <v>32</v>
      </c>
      <c r="J384" t="s">
        <v>34</v>
      </c>
      <c r="K384" s="2">
        <v>975.31</v>
      </c>
      <c r="L384" s="2">
        <v>1176.17</v>
      </c>
      <c r="M384" t="s">
        <v>29</v>
      </c>
      <c r="N384">
        <v>0.22</v>
      </c>
      <c r="O384" s="2">
        <f>(Sales[[#This Row],[Unit_Price]]-Sales[[#This Row],[Discount]]*Sales[[#This Row],[Unit_Price]])</f>
        <v>917.41260000000011</v>
      </c>
      <c r="P384" t="s">
        <v>26</v>
      </c>
      <c r="Q384" t="s">
        <v>21</v>
      </c>
      <c r="R384" t="s">
        <v>45</v>
      </c>
    </row>
    <row r="385" spans="1:18" x14ac:dyDescent="0.35">
      <c r="A385">
        <v>1085</v>
      </c>
      <c r="B385" s="1">
        <v>45084</v>
      </c>
      <c r="C385" s="1" t="str">
        <f>TEXT(Sales[[#This Row],[Sale_Date]],"YYYY")</f>
        <v>2023</v>
      </c>
      <c r="D385" s="1" t="str">
        <f>TEXT(Sales[[#This Row],[Sale_Date]],"MMMM")</f>
        <v>June</v>
      </c>
      <c r="E385" s="1" t="str">
        <f>TEXT(Sales[[#This Row],[Sale_Date]],"DDDD")</f>
        <v>Wednesday</v>
      </c>
      <c r="F385" t="s">
        <v>32</v>
      </c>
      <c r="G385" t="s">
        <v>33</v>
      </c>
      <c r="H385" s="2">
        <v>2070.02</v>
      </c>
      <c r="I385">
        <v>42</v>
      </c>
      <c r="J385" t="s">
        <v>28</v>
      </c>
      <c r="K385" s="2">
        <v>2254.11</v>
      </c>
      <c r="L385" s="2">
        <v>2382.23</v>
      </c>
      <c r="M385" t="s">
        <v>16</v>
      </c>
      <c r="N385">
        <v>0.15</v>
      </c>
      <c r="O385" s="2">
        <f>(Sales[[#This Row],[Unit_Price]]-Sales[[#This Row],[Discount]]*Sales[[#This Row],[Unit_Price]])</f>
        <v>2024.8955000000001</v>
      </c>
      <c r="P385" t="s">
        <v>30</v>
      </c>
      <c r="Q385" t="s">
        <v>21</v>
      </c>
      <c r="R385" t="s">
        <v>35</v>
      </c>
    </row>
    <row r="386" spans="1:18" x14ac:dyDescent="0.35">
      <c r="A386">
        <v>1032</v>
      </c>
      <c r="B386" s="1">
        <v>45046</v>
      </c>
      <c r="C386" s="1" t="str">
        <f>TEXT(Sales[[#This Row],[Sale_Date]],"YYYY")</f>
        <v>2023</v>
      </c>
      <c r="D386" s="1" t="str">
        <f>TEXT(Sales[[#This Row],[Sale_Date]],"MMMM")</f>
        <v>April</v>
      </c>
      <c r="E386" s="1" t="str">
        <f>TEXT(Sales[[#This Row],[Sale_Date]],"DDDD")</f>
        <v>Sunday</v>
      </c>
      <c r="F386" t="s">
        <v>41</v>
      </c>
      <c r="G386" t="s">
        <v>20</v>
      </c>
      <c r="H386" s="2">
        <v>4241.51</v>
      </c>
      <c r="I386">
        <v>18</v>
      </c>
      <c r="J386" t="s">
        <v>34</v>
      </c>
      <c r="K386" s="2">
        <v>2466.1799999999998</v>
      </c>
      <c r="L386" s="2">
        <v>2483.87</v>
      </c>
      <c r="M386" t="s">
        <v>16</v>
      </c>
      <c r="N386">
        <v>0.08</v>
      </c>
      <c r="O386" s="2">
        <f>(Sales[[#This Row],[Unit_Price]]-Sales[[#This Row],[Discount]]*Sales[[#This Row],[Unit_Price]])</f>
        <v>2285.1603999999998</v>
      </c>
      <c r="P386" t="s">
        <v>17</v>
      </c>
      <c r="Q386" t="s">
        <v>18</v>
      </c>
      <c r="R386" t="s">
        <v>50</v>
      </c>
    </row>
    <row r="387" spans="1:18" x14ac:dyDescent="0.35">
      <c r="A387">
        <v>1087</v>
      </c>
      <c r="B387" s="1">
        <v>44985</v>
      </c>
      <c r="C387" s="1" t="str">
        <f>TEXT(Sales[[#This Row],[Sale_Date]],"YYYY")</f>
        <v>2023</v>
      </c>
      <c r="D387" s="1" t="str">
        <f>TEXT(Sales[[#This Row],[Sale_Date]],"MMMM")</f>
        <v>February</v>
      </c>
      <c r="E387" s="1" t="str">
        <f>TEXT(Sales[[#This Row],[Sale_Date]],"DDDD")</f>
        <v>Tuesday</v>
      </c>
      <c r="F387" t="s">
        <v>41</v>
      </c>
      <c r="G387" t="s">
        <v>20</v>
      </c>
      <c r="H387" s="2">
        <v>7534.3</v>
      </c>
      <c r="I387">
        <v>15</v>
      </c>
      <c r="J387" t="s">
        <v>15</v>
      </c>
      <c r="K387" s="2">
        <v>4074.66</v>
      </c>
      <c r="L387" s="2">
        <v>4261.1099999999997</v>
      </c>
      <c r="M387" t="s">
        <v>16</v>
      </c>
      <c r="N387">
        <v>0.05</v>
      </c>
      <c r="O387" s="2">
        <f>(Sales[[#This Row],[Unit_Price]]-Sales[[#This Row],[Discount]]*Sales[[#This Row],[Unit_Price]])</f>
        <v>4048.0544999999997</v>
      </c>
      <c r="P387" t="s">
        <v>30</v>
      </c>
      <c r="Q387" t="s">
        <v>21</v>
      </c>
      <c r="R387" t="s">
        <v>50</v>
      </c>
    </row>
    <row r="388" spans="1:18" x14ac:dyDescent="0.35">
      <c r="A388">
        <v>1033</v>
      </c>
      <c r="B388" s="1">
        <v>45141</v>
      </c>
      <c r="C388" s="1" t="str">
        <f>TEXT(Sales[[#This Row],[Sale_Date]],"YYYY")</f>
        <v>2023</v>
      </c>
      <c r="D388" s="1" t="str">
        <f>TEXT(Sales[[#This Row],[Sale_Date]],"MMMM")</f>
        <v>August</v>
      </c>
      <c r="E388" s="1" t="str">
        <f>TEXT(Sales[[#This Row],[Sale_Date]],"DDDD")</f>
        <v>Thursday</v>
      </c>
      <c r="F388" t="s">
        <v>41</v>
      </c>
      <c r="G388" t="s">
        <v>20</v>
      </c>
      <c r="H388" s="2">
        <v>1103.5899999999999</v>
      </c>
      <c r="I388">
        <v>40</v>
      </c>
      <c r="J388" t="s">
        <v>25</v>
      </c>
      <c r="K388" s="2">
        <v>541.19000000000005</v>
      </c>
      <c r="L388" s="2">
        <v>595.20000000000005</v>
      </c>
      <c r="M388" t="s">
        <v>16</v>
      </c>
      <c r="N388">
        <v>0.19</v>
      </c>
      <c r="O388" s="2">
        <f>(Sales[[#This Row],[Unit_Price]]-Sales[[#This Row],[Discount]]*Sales[[#This Row],[Unit_Price]])</f>
        <v>482.11200000000002</v>
      </c>
      <c r="P388" t="s">
        <v>30</v>
      </c>
      <c r="Q388" t="s">
        <v>18</v>
      </c>
      <c r="R388" t="s">
        <v>50</v>
      </c>
    </row>
    <row r="389" spans="1:18" x14ac:dyDescent="0.35">
      <c r="A389">
        <v>1067</v>
      </c>
      <c r="B389" s="1">
        <v>45054</v>
      </c>
      <c r="C389" s="1" t="str">
        <f>TEXT(Sales[[#This Row],[Sale_Date]],"YYYY")</f>
        <v>2023</v>
      </c>
      <c r="D389" s="1" t="str">
        <f>TEXT(Sales[[#This Row],[Sale_Date]],"MMMM")</f>
        <v>May</v>
      </c>
      <c r="E389" s="1" t="str">
        <f>TEXT(Sales[[#This Row],[Sale_Date]],"DDDD")</f>
        <v>Monday</v>
      </c>
      <c r="F389" t="s">
        <v>32</v>
      </c>
      <c r="G389" t="s">
        <v>14</v>
      </c>
      <c r="H389" s="2">
        <v>2850.74</v>
      </c>
      <c r="I389">
        <v>32</v>
      </c>
      <c r="J389" t="s">
        <v>25</v>
      </c>
      <c r="K389" s="2">
        <v>2171.79</v>
      </c>
      <c r="L389" s="2">
        <v>2307.64</v>
      </c>
      <c r="M389" t="s">
        <v>16</v>
      </c>
      <c r="N389">
        <v>0.22</v>
      </c>
      <c r="O389" s="2">
        <f>(Sales[[#This Row],[Unit_Price]]-Sales[[#This Row],[Discount]]*Sales[[#This Row],[Unit_Price]])</f>
        <v>1799.9591999999998</v>
      </c>
      <c r="P389" t="s">
        <v>26</v>
      </c>
      <c r="Q389" t="s">
        <v>18</v>
      </c>
      <c r="R389" t="s">
        <v>52</v>
      </c>
    </row>
    <row r="390" spans="1:18" x14ac:dyDescent="0.35">
      <c r="A390">
        <v>1018</v>
      </c>
      <c r="B390" s="1">
        <v>45150</v>
      </c>
      <c r="C390" s="1" t="str">
        <f>TEXT(Sales[[#This Row],[Sale_Date]],"YYYY")</f>
        <v>2023</v>
      </c>
      <c r="D390" s="1" t="str">
        <f>TEXT(Sales[[#This Row],[Sale_Date]],"MMMM")</f>
        <v>August</v>
      </c>
      <c r="E390" s="1" t="str">
        <f>TEXT(Sales[[#This Row],[Sale_Date]],"DDDD")</f>
        <v>Saturday</v>
      </c>
      <c r="F390" t="s">
        <v>32</v>
      </c>
      <c r="G390" t="s">
        <v>14</v>
      </c>
      <c r="H390" s="2">
        <v>2835.56</v>
      </c>
      <c r="I390">
        <v>9</v>
      </c>
      <c r="J390" t="s">
        <v>34</v>
      </c>
      <c r="K390" s="2">
        <v>3161.09</v>
      </c>
      <c r="L390" s="2">
        <v>3216.42</v>
      </c>
      <c r="M390" t="s">
        <v>29</v>
      </c>
      <c r="N390">
        <v>0.17</v>
      </c>
      <c r="O390" s="2">
        <f>(Sales[[#This Row],[Unit_Price]]-Sales[[#This Row],[Discount]]*Sales[[#This Row],[Unit_Price]])</f>
        <v>2669.6286</v>
      </c>
      <c r="P390" t="s">
        <v>26</v>
      </c>
      <c r="Q390" t="s">
        <v>18</v>
      </c>
      <c r="R390" t="s">
        <v>52</v>
      </c>
    </row>
    <row r="391" spans="1:18" x14ac:dyDescent="0.35">
      <c r="A391">
        <v>1025</v>
      </c>
      <c r="B391" s="1">
        <v>45135</v>
      </c>
      <c r="C391" s="1" t="str">
        <f>TEXT(Sales[[#This Row],[Sale_Date]],"YYYY")</f>
        <v>2023</v>
      </c>
      <c r="D391" s="1" t="str">
        <f>TEXT(Sales[[#This Row],[Sale_Date]],"MMMM")</f>
        <v>July</v>
      </c>
      <c r="E391" s="1" t="str">
        <f>TEXT(Sales[[#This Row],[Sale_Date]],"DDDD")</f>
        <v>Friday</v>
      </c>
      <c r="F391" t="s">
        <v>23</v>
      </c>
      <c r="G391" t="s">
        <v>20</v>
      </c>
      <c r="H391" s="2">
        <v>4376.99</v>
      </c>
      <c r="I391">
        <v>37</v>
      </c>
      <c r="J391" t="s">
        <v>34</v>
      </c>
      <c r="K391" s="2">
        <v>1115.02</v>
      </c>
      <c r="L391" s="2">
        <v>1174.48</v>
      </c>
      <c r="M391" t="s">
        <v>29</v>
      </c>
      <c r="N391">
        <v>0.22</v>
      </c>
      <c r="O391" s="2">
        <f>(Sales[[#This Row],[Unit_Price]]-Sales[[#This Row],[Discount]]*Sales[[#This Row],[Unit_Price]])</f>
        <v>916.09439999999995</v>
      </c>
      <c r="P391" t="s">
        <v>30</v>
      </c>
      <c r="Q391" t="s">
        <v>18</v>
      </c>
      <c r="R391" t="s">
        <v>46</v>
      </c>
    </row>
    <row r="392" spans="1:18" x14ac:dyDescent="0.35">
      <c r="A392">
        <v>1095</v>
      </c>
      <c r="B392" s="1">
        <v>45041</v>
      </c>
      <c r="C392" s="1" t="str">
        <f>TEXT(Sales[[#This Row],[Sale_Date]],"YYYY")</f>
        <v>2023</v>
      </c>
      <c r="D392" s="1" t="str">
        <f>TEXT(Sales[[#This Row],[Sale_Date]],"MMMM")</f>
        <v>April</v>
      </c>
      <c r="E392" s="1" t="str">
        <f>TEXT(Sales[[#This Row],[Sale_Date]],"DDDD")</f>
        <v>Tuesday</v>
      </c>
      <c r="F392" t="s">
        <v>13</v>
      </c>
      <c r="G392" t="s">
        <v>24</v>
      </c>
      <c r="H392" s="2">
        <v>9805.65</v>
      </c>
      <c r="I392">
        <v>10</v>
      </c>
      <c r="J392" t="s">
        <v>34</v>
      </c>
      <c r="K392" s="2">
        <v>3155.97</v>
      </c>
      <c r="L392" s="2">
        <v>3263.49</v>
      </c>
      <c r="M392" t="s">
        <v>16</v>
      </c>
      <c r="N392">
        <v>0.04</v>
      </c>
      <c r="O392" s="2">
        <f>(Sales[[#This Row],[Unit_Price]]-Sales[[#This Row],[Discount]]*Sales[[#This Row],[Unit_Price]])</f>
        <v>3132.9503999999997</v>
      </c>
      <c r="P392" t="s">
        <v>30</v>
      </c>
      <c r="Q392" t="s">
        <v>18</v>
      </c>
      <c r="R392" t="s">
        <v>31</v>
      </c>
    </row>
    <row r="393" spans="1:18" x14ac:dyDescent="0.35">
      <c r="A393">
        <v>1054</v>
      </c>
      <c r="B393" s="1">
        <v>45135</v>
      </c>
      <c r="C393" s="1" t="str">
        <f>TEXT(Sales[[#This Row],[Sale_Date]],"YYYY")</f>
        <v>2023</v>
      </c>
      <c r="D393" s="1" t="str">
        <f>TEXT(Sales[[#This Row],[Sale_Date]],"MMMM")</f>
        <v>July</v>
      </c>
      <c r="E393" s="1" t="str">
        <f>TEXT(Sales[[#This Row],[Sale_Date]],"DDDD")</f>
        <v>Friday</v>
      </c>
      <c r="F393" t="s">
        <v>23</v>
      </c>
      <c r="G393" t="s">
        <v>33</v>
      </c>
      <c r="H393" s="2">
        <v>768.28</v>
      </c>
      <c r="I393">
        <v>20</v>
      </c>
      <c r="J393" t="s">
        <v>28</v>
      </c>
      <c r="K393" s="2">
        <v>4622.1400000000003</v>
      </c>
      <c r="L393" s="2">
        <v>5122.07</v>
      </c>
      <c r="M393" t="s">
        <v>29</v>
      </c>
      <c r="N393">
        <v>0.26</v>
      </c>
      <c r="O393" s="2">
        <f>(Sales[[#This Row],[Unit_Price]]-Sales[[#This Row],[Discount]]*Sales[[#This Row],[Unit_Price]])</f>
        <v>3790.3317999999999</v>
      </c>
      <c r="P393" t="s">
        <v>17</v>
      </c>
      <c r="Q393" t="s">
        <v>21</v>
      </c>
      <c r="R393" t="s">
        <v>49</v>
      </c>
    </row>
    <row r="394" spans="1:18" x14ac:dyDescent="0.35">
      <c r="A394">
        <v>1058</v>
      </c>
      <c r="B394" s="1">
        <v>44940</v>
      </c>
      <c r="C394" s="1" t="str">
        <f>TEXT(Sales[[#This Row],[Sale_Date]],"YYYY")</f>
        <v>2023</v>
      </c>
      <c r="D394" s="1" t="str">
        <f>TEXT(Sales[[#This Row],[Sale_Date]],"MMMM")</f>
        <v>January</v>
      </c>
      <c r="E394" s="1" t="str">
        <f>TEXT(Sales[[#This Row],[Sale_Date]],"DDDD")</f>
        <v>Saturday</v>
      </c>
      <c r="F394" t="s">
        <v>13</v>
      </c>
      <c r="G394" t="s">
        <v>33</v>
      </c>
      <c r="H394" s="2">
        <v>5235.1400000000003</v>
      </c>
      <c r="I394">
        <v>6</v>
      </c>
      <c r="J394" t="s">
        <v>25</v>
      </c>
      <c r="K394" s="2">
        <v>4987.71</v>
      </c>
      <c r="L394" s="2">
        <v>4998.78</v>
      </c>
      <c r="M394" t="s">
        <v>16</v>
      </c>
      <c r="N394">
        <v>0.17</v>
      </c>
      <c r="O394" s="2">
        <f>(Sales[[#This Row],[Unit_Price]]-Sales[[#This Row],[Discount]]*Sales[[#This Row],[Unit_Price]])</f>
        <v>4148.9874</v>
      </c>
      <c r="P394" t="s">
        <v>17</v>
      </c>
      <c r="Q394" t="s">
        <v>21</v>
      </c>
      <c r="R394" t="s">
        <v>45</v>
      </c>
    </row>
    <row r="395" spans="1:18" x14ac:dyDescent="0.35">
      <c r="A395">
        <v>1067</v>
      </c>
      <c r="B395" s="1">
        <v>44935</v>
      </c>
      <c r="C395" s="1" t="str">
        <f>TEXT(Sales[[#This Row],[Sale_Date]],"YYYY")</f>
        <v>2023</v>
      </c>
      <c r="D395" s="1" t="str">
        <f>TEXT(Sales[[#This Row],[Sale_Date]],"MMMM")</f>
        <v>January</v>
      </c>
      <c r="E395" s="1" t="str">
        <f>TEXT(Sales[[#This Row],[Sale_Date]],"DDDD")</f>
        <v>Monday</v>
      </c>
      <c r="F395" t="s">
        <v>32</v>
      </c>
      <c r="G395" t="s">
        <v>14</v>
      </c>
      <c r="H395" s="2">
        <v>1875.71</v>
      </c>
      <c r="I395">
        <v>48</v>
      </c>
      <c r="J395" t="s">
        <v>34</v>
      </c>
      <c r="K395" s="2">
        <v>210.63</v>
      </c>
      <c r="L395" s="2">
        <v>533.57999999999902</v>
      </c>
      <c r="M395" t="s">
        <v>29</v>
      </c>
      <c r="N395">
        <v>0.04</v>
      </c>
      <c r="O395" s="2">
        <f>(Sales[[#This Row],[Unit_Price]]-Sales[[#This Row],[Discount]]*Sales[[#This Row],[Unit_Price]])</f>
        <v>512.23679999999911</v>
      </c>
      <c r="P395" t="s">
        <v>26</v>
      </c>
      <c r="Q395" t="s">
        <v>18</v>
      </c>
      <c r="R395" t="s">
        <v>52</v>
      </c>
    </row>
    <row r="396" spans="1:18" x14ac:dyDescent="0.35">
      <c r="A396">
        <v>1046</v>
      </c>
      <c r="B396" s="1">
        <v>44966</v>
      </c>
      <c r="C396" s="1" t="str">
        <f>TEXT(Sales[[#This Row],[Sale_Date]],"YYYY")</f>
        <v>2023</v>
      </c>
      <c r="D396" s="1" t="str">
        <f>TEXT(Sales[[#This Row],[Sale_Date]],"MMMM")</f>
        <v>February</v>
      </c>
      <c r="E396" s="1" t="str">
        <f>TEXT(Sales[[#This Row],[Sale_Date]],"DDDD")</f>
        <v>Thursday</v>
      </c>
      <c r="F396" t="s">
        <v>32</v>
      </c>
      <c r="G396" t="s">
        <v>33</v>
      </c>
      <c r="H396" s="2">
        <v>9709.7000000000007</v>
      </c>
      <c r="I396">
        <v>3</v>
      </c>
      <c r="J396" t="s">
        <v>15</v>
      </c>
      <c r="K396" s="2">
        <v>1216.1600000000001</v>
      </c>
      <c r="L396" s="2">
        <v>1295.3699999999999</v>
      </c>
      <c r="M396" t="s">
        <v>29</v>
      </c>
      <c r="N396">
        <v>0.14000000000000001</v>
      </c>
      <c r="O396" s="2">
        <f>(Sales[[#This Row],[Unit_Price]]-Sales[[#This Row],[Discount]]*Sales[[#This Row],[Unit_Price]])</f>
        <v>1114.0182</v>
      </c>
      <c r="P396" t="s">
        <v>17</v>
      </c>
      <c r="Q396" t="s">
        <v>21</v>
      </c>
      <c r="R396" t="s">
        <v>35</v>
      </c>
    </row>
    <row r="397" spans="1:18" x14ac:dyDescent="0.35">
      <c r="A397">
        <v>1024</v>
      </c>
      <c r="B397" s="1">
        <v>45163</v>
      </c>
      <c r="C397" s="1" t="str">
        <f>TEXT(Sales[[#This Row],[Sale_Date]],"YYYY")</f>
        <v>2023</v>
      </c>
      <c r="D397" s="1" t="str">
        <f>TEXT(Sales[[#This Row],[Sale_Date]],"MMMM")</f>
        <v>August</v>
      </c>
      <c r="E397" s="1" t="str">
        <f>TEXT(Sales[[#This Row],[Sale_Date]],"DDDD")</f>
        <v>Friday</v>
      </c>
      <c r="F397" t="s">
        <v>23</v>
      </c>
      <c r="G397" t="s">
        <v>24</v>
      </c>
      <c r="H397" s="2">
        <v>1221.7</v>
      </c>
      <c r="I397">
        <v>42</v>
      </c>
      <c r="J397" t="s">
        <v>34</v>
      </c>
      <c r="K397" s="2">
        <v>1586.02</v>
      </c>
      <c r="L397" s="2">
        <v>2047.13</v>
      </c>
      <c r="M397" t="s">
        <v>29</v>
      </c>
      <c r="N397">
        <v>0.25</v>
      </c>
      <c r="O397" s="2">
        <f>(Sales[[#This Row],[Unit_Price]]-Sales[[#This Row],[Discount]]*Sales[[#This Row],[Unit_Price]])</f>
        <v>1535.3475000000001</v>
      </c>
      <c r="P397" t="s">
        <v>17</v>
      </c>
      <c r="Q397" t="s">
        <v>21</v>
      </c>
      <c r="R397" t="s">
        <v>27</v>
      </c>
    </row>
    <row r="398" spans="1:18" x14ac:dyDescent="0.35">
      <c r="A398">
        <v>1032</v>
      </c>
      <c r="B398" s="1">
        <v>45207</v>
      </c>
      <c r="C398" s="1" t="str">
        <f>TEXT(Sales[[#This Row],[Sale_Date]],"YYYY")</f>
        <v>2023</v>
      </c>
      <c r="D398" s="1" t="str">
        <f>TEXT(Sales[[#This Row],[Sale_Date]],"MMMM")</f>
        <v>October</v>
      </c>
      <c r="E398" s="1" t="str">
        <f>TEXT(Sales[[#This Row],[Sale_Date]],"DDDD")</f>
        <v>Sunday</v>
      </c>
      <c r="F398" t="s">
        <v>37</v>
      </c>
      <c r="G398" t="s">
        <v>33</v>
      </c>
      <c r="H398" s="2">
        <v>4095.65</v>
      </c>
      <c r="I398">
        <v>11</v>
      </c>
      <c r="J398" t="s">
        <v>25</v>
      </c>
      <c r="K398" s="2">
        <v>2025.67</v>
      </c>
      <c r="L398" s="2">
        <v>2081.5500000000002</v>
      </c>
      <c r="M398" t="s">
        <v>29</v>
      </c>
      <c r="N398">
        <v>0.27</v>
      </c>
      <c r="O398" s="2">
        <f>(Sales[[#This Row],[Unit_Price]]-Sales[[#This Row],[Discount]]*Sales[[#This Row],[Unit_Price]])</f>
        <v>1519.5315000000001</v>
      </c>
      <c r="P398" t="s">
        <v>26</v>
      </c>
      <c r="Q398" t="s">
        <v>18</v>
      </c>
      <c r="R398" t="s">
        <v>47</v>
      </c>
    </row>
    <row r="399" spans="1:18" x14ac:dyDescent="0.35">
      <c r="A399">
        <v>1047</v>
      </c>
      <c r="B399" s="1">
        <v>45285</v>
      </c>
      <c r="C399" s="1" t="str">
        <f>TEXT(Sales[[#This Row],[Sale_Date]],"YYYY")</f>
        <v>2023</v>
      </c>
      <c r="D399" s="1" t="str">
        <f>TEXT(Sales[[#This Row],[Sale_Date]],"MMMM")</f>
        <v>December</v>
      </c>
      <c r="E399" s="1" t="str">
        <f>TEXT(Sales[[#This Row],[Sale_Date]],"DDDD")</f>
        <v>Monday</v>
      </c>
      <c r="F399" t="s">
        <v>23</v>
      </c>
      <c r="G399" t="s">
        <v>14</v>
      </c>
      <c r="H399" s="2">
        <v>7405.06</v>
      </c>
      <c r="I399">
        <v>43</v>
      </c>
      <c r="J399" t="s">
        <v>34</v>
      </c>
      <c r="K399" s="2">
        <v>1249.17</v>
      </c>
      <c r="L399" s="2">
        <v>1727.15</v>
      </c>
      <c r="M399" t="s">
        <v>29</v>
      </c>
      <c r="N399">
        <v>0.08</v>
      </c>
      <c r="O399" s="2">
        <f>(Sales[[#This Row],[Unit_Price]]-Sales[[#This Row],[Discount]]*Sales[[#This Row],[Unit_Price]])</f>
        <v>1588.9780000000001</v>
      </c>
      <c r="P399" t="s">
        <v>17</v>
      </c>
      <c r="Q399" t="s">
        <v>21</v>
      </c>
      <c r="R399" t="s">
        <v>44</v>
      </c>
    </row>
    <row r="400" spans="1:18" x14ac:dyDescent="0.35">
      <c r="A400">
        <v>1086</v>
      </c>
      <c r="B400" s="1">
        <v>45127</v>
      </c>
      <c r="C400" s="1" t="str">
        <f>TEXT(Sales[[#This Row],[Sale_Date]],"YYYY")</f>
        <v>2023</v>
      </c>
      <c r="D400" s="1" t="str">
        <f>TEXT(Sales[[#This Row],[Sale_Date]],"MMMM")</f>
        <v>July</v>
      </c>
      <c r="E400" s="1" t="str">
        <f>TEXT(Sales[[#This Row],[Sale_Date]],"DDDD")</f>
        <v>Thursday</v>
      </c>
      <c r="F400" t="s">
        <v>13</v>
      </c>
      <c r="G400" t="s">
        <v>14</v>
      </c>
      <c r="H400" s="2">
        <v>7075.09</v>
      </c>
      <c r="I400">
        <v>17</v>
      </c>
      <c r="J400" t="s">
        <v>25</v>
      </c>
      <c r="K400" s="2">
        <v>1057.27</v>
      </c>
      <c r="L400" s="2">
        <v>1366.62</v>
      </c>
      <c r="M400" t="s">
        <v>29</v>
      </c>
      <c r="N400">
        <v>0.21</v>
      </c>
      <c r="O400" s="2">
        <f>(Sales[[#This Row],[Unit_Price]]-Sales[[#This Row],[Discount]]*Sales[[#This Row],[Unit_Price]])</f>
        <v>1079.6297999999999</v>
      </c>
      <c r="P400" t="s">
        <v>30</v>
      </c>
      <c r="Q400" t="s">
        <v>21</v>
      </c>
      <c r="R400" t="s">
        <v>19</v>
      </c>
    </row>
    <row r="401" spans="1:18" x14ac:dyDescent="0.35">
      <c r="A401">
        <v>1023</v>
      </c>
      <c r="B401" s="1">
        <v>45172</v>
      </c>
      <c r="C401" s="1" t="str">
        <f>TEXT(Sales[[#This Row],[Sale_Date]],"YYYY")</f>
        <v>2023</v>
      </c>
      <c r="D401" s="1" t="str">
        <f>TEXT(Sales[[#This Row],[Sale_Date]],"MMMM")</f>
        <v>September</v>
      </c>
      <c r="E401" s="1" t="str">
        <f>TEXT(Sales[[#This Row],[Sale_Date]],"DDDD")</f>
        <v>Sunday</v>
      </c>
      <c r="F401" t="s">
        <v>23</v>
      </c>
      <c r="G401" t="s">
        <v>24</v>
      </c>
      <c r="H401" s="2">
        <v>4285.01</v>
      </c>
      <c r="I401">
        <v>32</v>
      </c>
      <c r="J401" t="s">
        <v>34</v>
      </c>
      <c r="K401" s="2">
        <v>4775.04</v>
      </c>
      <c r="L401" s="2">
        <v>4785.66</v>
      </c>
      <c r="M401" t="s">
        <v>29</v>
      </c>
      <c r="N401">
        <v>0.03</v>
      </c>
      <c r="O401" s="2">
        <f>(Sales[[#This Row],[Unit_Price]]-Sales[[#This Row],[Discount]]*Sales[[#This Row],[Unit_Price]])</f>
        <v>4642.0901999999996</v>
      </c>
      <c r="P401" t="s">
        <v>17</v>
      </c>
      <c r="Q401" t="s">
        <v>18</v>
      </c>
      <c r="R401" t="s">
        <v>27</v>
      </c>
    </row>
    <row r="402" spans="1:18" x14ac:dyDescent="0.35">
      <c r="A402">
        <v>1066</v>
      </c>
      <c r="B402" s="1">
        <v>45204</v>
      </c>
      <c r="C402" s="1" t="str">
        <f>TEXT(Sales[[#This Row],[Sale_Date]],"YYYY")</f>
        <v>2023</v>
      </c>
      <c r="D402" s="1" t="str">
        <f>TEXT(Sales[[#This Row],[Sale_Date]],"MMMM")</f>
        <v>October</v>
      </c>
      <c r="E402" s="1" t="str">
        <f>TEXT(Sales[[#This Row],[Sale_Date]],"DDDD")</f>
        <v>Thursday</v>
      </c>
      <c r="F402" t="s">
        <v>41</v>
      </c>
      <c r="G402" t="s">
        <v>24</v>
      </c>
      <c r="H402" s="2">
        <v>3530.59</v>
      </c>
      <c r="I402">
        <v>4</v>
      </c>
      <c r="J402" t="s">
        <v>15</v>
      </c>
      <c r="K402" s="2">
        <v>4596.68</v>
      </c>
      <c r="L402" s="2">
        <v>5044.74</v>
      </c>
      <c r="M402" t="s">
        <v>29</v>
      </c>
      <c r="N402">
        <v>0.01</v>
      </c>
      <c r="O402" s="2">
        <f>(Sales[[#This Row],[Unit_Price]]-Sales[[#This Row],[Discount]]*Sales[[#This Row],[Unit_Price]])</f>
        <v>4994.2925999999998</v>
      </c>
      <c r="P402" t="s">
        <v>26</v>
      </c>
      <c r="Q402" t="s">
        <v>18</v>
      </c>
      <c r="R402" t="s">
        <v>42</v>
      </c>
    </row>
    <row r="403" spans="1:18" x14ac:dyDescent="0.35">
      <c r="A403">
        <v>1027</v>
      </c>
      <c r="B403" s="1">
        <v>45161</v>
      </c>
      <c r="C403" s="1" t="str">
        <f>TEXT(Sales[[#This Row],[Sale_Date]],"YYYY")</f>
        <v>2023</v>
      </c>
      <c r="D403" s="1" t="str">
        <f>TEXT(Sales[[#This Row],[Sale_Date]],"MMMM")</f>
        <v>August</v>
      </c>
      <c r="E403" s="1" t="str">
        <f>TEXT(Sales[[#This Row],[Sale_Date]],"DDDD")</f>
        <v>Wednesday</v>
      </c>
      <c r="F403" t="s">
        <v>13</v>
      </c>
      <c r="G403" t="s">
        <v>33</v>
      </c>
      <c r="H403" s="2">
        <v>4036.36</v>
      </c>
      <c r="I403">
        <v>4</v>
      </c>
      <c r="J403" t="s">
        <v>34</v>
      </c>
      <c r="K403" s="2">
        <v>282.61</v>
      </c>
      <c r="L403" s="2">
        <v>548.25</v>
      </c>
      <c r="M403" t="s">
        <v>29</v>
      </c>
      <c r="N403">
        <v>0.17</v>
      </c>
      <c r="O403" s="2">
        <f>(Sales[[#This Row],[Unit_Price]]-Sales[[#This Row],[Discount]]*Sales[[#This Row],[Unit_Price]])</f>
        <v>455.04750000000001</v>
      </c>
      <c r="P403" t="s">
        <v>30</v>
      </c>
      <c r="Q403" t="s">
        <v>18</v>
      </c>
      <c r="R403" t="s">
        <v>45</v>
      </c>
    </row>
    <row r="404" spans="1:18" x14ac:dyDescent="0.35">
      <c r="A404">
        <v>1002</v>
      </c>
      <c r="B404" s="1">
        <v>44930</v>
      </c>
      <c r="C404" s="1" t="str">
        <f>TEXT(Sales[[#This Row],[Sale_Date]],"YYYY")</f>
        <v>2023</v>
      </c>
      <c r="D404" s="1" t="str">
        <f>TEXT(Sales[[#This Row],[Sale_Date]],"MMMM")</f>
        <v>January</v>
      </c>
      <c r="E404" s="1" t="str">
        <f>TEXT(Sales[[#This Row],[Sale_Date]],"DDDD")</f>
        <v>Wednesday</v>
      </c>
      <c r="F404" t="s">
        <v>13</v>
      </c>
      <c r="G404" t="s">
        <v>33</v>
      </c>
      <c r="H404" s="2">
        <v>2716.34</v>
      </c>
      <c r="I404">
        <v>17</v>
      </c>
      <c r="J404" t="s">
        <v>15</v>
      </c>
      <c r="K404" s="2">
        <v>1727.12</v>
      </c>
      <c r="L404" s="2">
        <v>1865.83</v>
      </c>
      <c r="M404" t="s">
        <v>29</v>
      </c>
      <c r="N404">
        <v>0.21</v>
      </c>
      <c r="O404" s="2">
        <f>(Sales[[#This Row],[Unit_Price]]-Sales[[#This Row],[Discount]]*Sales[[#This Row],[Unit_Price]])</f>
        <v>1474.0056999999999</v>
      </c>
      <c r="P404" t="s">
        <v>17</v>
      </c>
      <c r="Q404" t="s">
        <v>18</v>
      </c>
      <c r="R404" t="s">
        <v>45</v>
      </c>
    </row>
    <row r="405" spans="1:18" x14ac:dyDescent="0.35">
      <c r="A405">
        <v>1090</v>
      </c>
      <c r="B405" s="1">
        <v>45080</v>
      </c>
      <c r="C405" s="1" t="str">
        <f>TEXT(Sales[[#This Row],[Sale_Date]],"YYYY")</f>
        <v>2023</v>
      </c>
      <c r="D405" s="1" t="str">
        <f>TEXT(Sales[[#This Row],[Sale_Date]],"MMMM")</f>
        <v>June</v>
      </c>
      <c r="E405" s="1" t="str">
        <f>TEXT(Sales[[#This Row],[Sale_Date]],"DDDD")</f>
        <v>Saturday</v>
      </c>
      <c r="F405" t="s">
        <v>37</v>
      </c>
      <c r="G405" t="s">
        <v>14</v>
      </c>
      <c r="H405" s="2">
        <v>2132.8000000000002</v>
      </c>
      <c r="I405">
        <v>41</v>
      </c>
      <c r="J405" t="s">
        <v>15</v>
      </c>
      <c r="K405" s="2">
        <v>2055.4899999999998</v>
      </c>
      <c r="L405" s="2">
        <v>2441.46</v>
      </c>
      <c r="M405" t="s">
        <v>29</v>
      </c>
      <c r="N405">
        <v>0.24</v>
      </c>
      <c r="O405" s="2">
        <f>(Sales[[#This Row],[Unit_Price]]-Sales[[#This Row],[Discount]]*Sales[[#This Row],[Unit_Price]])</f>
        <v>1855.5096000000001</v>
      </c>
      <c r="P405" t="s">
        <v>30</v>
      </c>
      <c r="Q405" t="s">
        <v>18</v>
      </c>
      <c r="R405" t="s">
        <v>39</v>
      </c>
    </row>
    <row r="406" spans="1:18" x14ac:dyDescent="0.35">
      <c r="A406">
        <v>1017</v>
      </c>
      <c r="B406" s="1">
        <v>44955</v>
      </c>
      <c r="C406" s="1" t="str">
        <f>TEXT(Sales[[#This Row],[Sale_Date]],"YYYY")</f>
        <v>2023</v>
      </c>
      <c r="D406" s="1" t="str">
        <f>TEXT(Sales[[#This Row],[Sale_Date]],"MMMM")</f>
        <v>January</v>
      </c>
      <c r="E406" s="1" t="str">
        <f>TEXT(Sales[[#This Row],[Sale_Date]],"DDDD")</f>
        <v>Sunday</v>
      </c>
      <c r="F406" t="s">
        <v>32</v>
      </c>
      <c r="G406" t="s">
        <v>24</v>
      </c>
      <c r="H406" s="2">
        <v>4882.09</v>
      </c>
      <c r="I406">
        <v>19</v>
      </c>
      <c r="J406" t="s">
        <v>34</v>
      </c>
      <c r="K406" s="2">
        <v>1233.1199999999999</v>
      </c>
      <c r="L406" s="2">
        <v>1697.1899999999901</v>
      </c>
      <c r="M406" t="s">
        <v>29</v>
      </c>
      <c r="N406">
        <v>0.1</v>
      </c>
      <c r="O406" s="2">
        <f>(Sales[[#This Row],[Unit_Price]]-Sales[[#This Row],[Discount]]*Sales[[#This Row],[Unit_Price]])</f>
        <v>1527.4709999999909</v>
      </c>
      <c r="P406" t="s">
        <v>30</v>
      </c>
      <c r="Q406" t="s">
        <v>18</v>
      </c>
      <c r="R406" t="s">
        <v>43</v>
      </c>
    </row>
    <row r="407" spans="1:18" x14ac:dyDescent="0.35">
      <c r="A407">
        <v>1033</v>
      </c>
      <c r="B407" s="1">
        <v>45035</v>
      </c>
      <c r="C407" s="1" t="str">
        <f>TEXT(Sales[[#This Row],[Sale_Date]],"YYYY")</f>
        <v>2023</v>
      </c>
      <c r="D407" s="1" t="str">
        <f>TEXT(Sales[[#This Row],[Sale_Date]],"MMMM")</f>
        <v>April</v>
      </c>
      <c r="E407" s="1" t="str">
        <f>TEXT(Sales[[#This Row],[Sale_Date]],"DDDD")</f>
        <v>Wednesday</v>
      </c>
      <c r="F407" t="s">
        <v>13</v>
      </c>
      <c r="G407" t="s">
        <v>24</v>
      </c>
      <c r="H407" s="2">
        <v>2758.48</v>
      </c>
      <c r="I407">
        <v>5</v>
      </c>
      <c r="J407" t="s">
        <v>15</v>
      </c>
      <c r="K407" s="2">
        <v>3162.92</v>
      </c>
      <c r="L407" s="2">
        <v>3409.93</v>
      </c>
      <c r="M407" t="s">
        <v>29</v>
      </c>
      <c r="N407">
        <v>0</v>
      </c>
      <c r="O407" s="2">
        <f>(Sales[[#This Row],[Unit_Price]]-Sales[[#This Row],[Discount]]*Sales[[#This Row],[Unit_Price]])</f>
        <v>3409.93</v>
      </c>
      <c r="P407" t="s">
        <v>17</v>
      </c>
      <c r="Q407" t="s">
        <v>18</v>
      </c>
      <c r="R407" t="s">
        <v>31</v>
      </c>
    </row>
    <row r="408" spans="1:18" x14ac:dyDescent="0.35">
      <c r="A408">
        <v>1009</v>
      </c>
      <c r="B408" s="1">
        <v>45024</v>
      </c>
      <c r="C408" s="1" t="str">
        <f>TEXT(Sales[[#This Row],[Sale_Date]],"YYYY")</f>
        <v>2023</v>
      </c>
      <c r="D408" s="1" t="str">
        <f>TEXT(Sales[[#This Row],[Sale_Date]],"MMMM")</f>
        <v>April</v>
      </c>
      <c r="E408" s="1" t="str">
        <f>TEXT(Sales[[#This Row],[Sale_Date]],"DDDD")</f>
        <v>Saturday</v>
      </c>
      <c r="F408" t="s">
        <v>32</v>
      </c>
      <c r="G408" t="s">
        <v>24</v>
      </c>
      <c r="H408" s="2">
        <v>2945.87</v>
      </c>
      <c r="I408">
        <v>32</v>
      </c>
      <c r="J408" t="s">
        <v>28</v>
      </c>
      <c r="K408" s="2">
        <v>3219.88</v>
      </c>
      <c r="L408" s="2">
        <v>3384.5</v>
      </c>
      <c r="M408" t="s">
        <v>16</v>
      </c>
      <c r="N408">
        <v>0.14000000000000001</v>
      </c>
      <c r="O408" s="2">
        <f>(Sales[[#This Row],[Unit_Price]]-Sales[[#This Row],[Discount]]*Sales[[#This Row],[Unit_Price]])</f>
        <v>2910.67</v>
      </c>
      <c r="P408" t="s">
        <v>17</v>
      </c>
      <c r="Q408" t="s">
        <v>21</v>
      </c>
      <c r="R408" t="s">
        <v>43</v>
      </c>
    </row>
    <row r="409" spans="1:18" x14ac:dyDescent="0.35">
      <c r="A409">
        <v>1043</v>
      </c>
      <c r="B409" s="1">
        <v>45141</v>
      </c>
      <c r="C409" s="1" t="str">
        <f>TEXT(Sales[[#This Row],[Sale_Date]],"YYYY")</f>
        <v>2023</v>
      </c>
      <c r="D409" s="1" t="str">
        <f>TEXT(Sales[[#This Row],[Sale_Date]],"MMMM")</f>
        <v>August</v>
      </c>
      <c r="E409" s="1" t="str">
        <f>TEXT(Sales[[#This Row],[Sale_Date]],"DDDD")</f>
        <v>Thursday</v>
      </c>
      <c r="F409" t="s">
        <v>23</v>
      </c>
      <c r="G409" t="s">
        <v>33</v>
      </c>
      <c r="H409" s="2">
        <v>6601.89</v>
      </c>
      <c r="I409">
        <v>22</v>
      </c>
      <c r="J409" t="s">
        <v>34</v>
      </c>
      <c r="K409" s="2">
        <v>4260</v>
      </c>
      <c r="L409" s="2">
        <v>4656.58</v>
      </c>
      <c r="M409" t="s">
        <v>29</v>
      </c>
      <c r="N409">
        <v>0</v>
      </c>
      <c r="O409" s="2">
        <f>(Sales[[#This Row],[Unit_Price]]-Sales[[#This Row],[Discount]]*Sales[[#This Row],[Unit_Price]])</f>
        <v>4656.58</v>
      </c>
      <c r="P409" t="s">
        <v>26</v>
      </c>
      <c r="Q409" t="s">
        <v>18</v>
      </c>
      <c r="R409" t="s">
        <v>49</v>
      </c>
    </row>
    <row r="410" spans="1:18" x14ac:dyDescent="0.35">
      <c r="A410">
        <v>1048</v>
      </c>
      <c r="B410" s="1">
        <v>45219</v>
      </c>
      <c r="C410" s="1" t="str">
        <f>TEXT(Sales[[#This Row],[Sale_Date]],"YYYY")</f>
        <v>2023</v>
      </c>
      <c r="D410" s="1" t="str">
        <f>TEXT(Sales[[#This Row],[Sale_Date]],"MMMM")</f>
        <v>October</v>
      </c>
      <c r="E410" s="1" t="str">
        <f>TEXT(Sales[[#This Row],[Sale_Date]],"DDDD")</f>
        <v>Friday</v>
      </c>
      <c r="F410" t="s">
        <v>41</v>
      </c>
      <c r="G410" t="s">
        <v>24</v>
      </c>
      <c r="H410" s="2">
        <v>9688.52</v>
      </c>
      <c r="I410">
        <v>6</v>
      </c>
      <c r="J410" t="s">
        <v>34</v>
      </c>
      <c r="K410" s="2">
        <v>3717.3</v>
      </c>
      <c r="L410" s="2">
        <v>4061.37</v>
      </c>
      <c r="M410" t="s">
        <v>29</v>
      </c>
      <c r="N410">
        <v>0.03</v>
      </c>
      <c r="O410" s="2">
        <f>(Sales[[#This Row],[Unit_Price]]-Sales[[#This Row],[Discount]]*Sales[[#This Row],[Unit_Price]])</f>
        <v>3939.5288999999998</v>
      </c>
      <c r="P410" t="s">
        <v>26</v>
      </c>
      <c r="Q410" t="s">
        <v>21</v>
      </c>
      <c r="R410" t="s">
        <v>42</v>
      </c>
    </row>
    <row r="411" spans="1:18" x14ac:dyDescent="0.35">
      <c r="A411">
        <v>1039</v>
      </c>
      <c r="B411" s="1">
        <v>45001</v>
      </c>
      <c r="C411" s="1" t="str">
        <f>TEXT(Sales[[#This Row],[Sale_Date]],"YYYY")</f>
        <v>2023</v>
      </c>
      <c r="D411" s="1" t="str">
        <f>TEXT(Sales[[#This Row],[Sale_Date]],"MMMM")</f>
        <v>March</v>
      </c>
      <c r="E411" s="1" t="str">
        <f>TEXT(Sales[[#This Row],[Sale_Date]],"DDDD")</f>
        <v>Thursday</v>
      </c>
      <c r="F411" t="s">
        <v>37</v>
      </c>
      <c r="G411" t="s">
        <v>14</v>
      </c>
      <c r="H411" s="2">
        <v>6076.01</v>
      </c>
      <c r="I411">
        <v>35</v>
      </c>
      <c r="J411" t="s">
        <v>15</v>
      </c>
      <c r="K411" s="2">
        <v>2735.74</v>
      </c>
      <c r="L411" s="2">
        <v>3181.22999999999</v>
      </c>
      <c r="M411" t="s">
        <v>29</v>
      </c>
      <c r="N411">
        <v>0.1</v>
      </c>
      <c r="O411" s="2">
        <f>(Sales[[#This Row],[Unit_Price]]-Sales[[#This Row],[Discount]]*Sales[[#This Row],[Unit_Price]])</f>
        <v>2863.1069999999909</v>
      </c>
      <c r="P411" t="s">
        <v>30</v>
      </c>
      <c r="Q411" t="s">
        <v>21</v>
      </c>
      <c r="R411" t="s">
        <v>39</v>
      </c>
    </row>
    <row r="412" spans="1:18" x14ac:dyDescent="0.35">
      <c r="A412">
        <v>1093</v>
      </c>
      <c r="B412" s="1">
        <v>45252</v>
      </c>
      <c r="C412" s="1" t="str">
        <f>TEXT(Sales[[#This Row],[Sale_Date]],"YYYY")</f>
        <v>2023</v>
      </c>
      <c r="D412" s="1" t="str">
        <f>TEXT(Sales[[#This Row],[Sale_Date]],"MMMM")</f>
        <v>November</v>
      </c>
      <c r="E412" s="1" t="str">
        <f>TEXT(Sales[[#This Row],[Sale_Date]],"DDDD")</f>
        <v>Wednesday</v>
      </c>
      <c r="F412" t="s">
        <v>32</v>
      </c>
      <c r="G412" t="s">
        <v>14</v>
      </c>
      <c r="H412" s="2">
        <v>862.1</v>
      </c>
      <c r="I412">
        <v>22</v>
      </c>
      <c r="J412" t="s">
        <v>15</v>
      </c>
      <c r="K412" s="2">
        <v>3285.25</v>
      </c>
      <c r="L412" s="2">
        <v>3634.58</v>
      </c>
      <c r="M412" t="s">
        <v>29</v>
      </c>
      <c r="N412">
        <v>0.13</v>
      </c>
      <c r="O412" s="2">
        <f>(Sales[[#This Row],[Unit_Price]]-Sales[[#This Row],[Discount]]*Sales[[#This Row],[Unit_Price]])</f>
        <v>3162.0846000000001</v>
      </c>
      <c r="P412" t="s">
        <v>26</v>
      </c>
      <c r="Q412" t="s">
        <v>18</v>
      </c>
      <c r="R412" t="s">
        <v>52</v>
      </c>
    </row>
    <row r="413" spans="1:18" x14ac:dyDescent="0.35">
      <c r="A413">
        <v>1042</v>
      </c>
      <c r="B413" s="1">
        <v>45072</v>
      </c>
      <c r="C413" s="1" t="str">
        <f>TEXT(Sales[[#This Row],[Sale_Date]],"YYYY")</f>
        <v>2023</v>
      </c>
      <c r="D413" s="1" t="str">
        <f>TEXT(Sales[[#This Row],[Sale_Date]],"MMMM")</f>
        <v>May</v>
      </c>
      <c r="E413" s="1" t="str">
        <f>TEXT(Sales[[#This Row],[Sale_Date]],"DDDD")</f>
        <v>Friday</v>
      </c>
      <c r="F413" t="s">
        <v>13</v>
      </c>
      <c r="G413" t="s">
        <v>33</v>
      </c>
      <c r="H413" s="2">
        <v>848.28</v>
      </c>
      <c r="I413">
        <v>1</v>
      </c>
      <c r="J413" t="s">
        <v>34</v>
      </c>
      <c r="K413" s="2">
        <v>1406.24</v>
      </c>
      <c r="L413" s="2">
        <v>1535.57</v>
      </c>
      <c r="M413" t="s">
        <v>29</v>
      </c>
      <c r="N413">
        <v>0.08</v>
      </c>
      <c r="O413" s="2">
        <f>(Sales[[#This Row],[Unit_Price]]-Sales[[#This Row],[Discount]]*Sales[[#This Row],[Unit_Price]])</f>
        <v>1412.7244000000001</v>
      </c>
      <c r="P413" t="s">
        <v>30</v>
      </c>
      <c r="Q413" t="s">
        <v>21</v>
      </c>
      <c r="R413" t="s">
        <v>45</v>
      </c>
    </row>
    <row r="414" spans="1:18" x14ac:dyDescent="0.35">
      <c r="A414">
        <v>1026</v>
      </c>
      <c r="B414" s="1">
        <v>45054</v>
      </c>
      <c r="C414" s="1" t="str">
        <f>TEXT(Sales[[#This Row],[Sale_Date]],"YYYY")</f>
        <v>2023</v>
      </c>
      <c r="D414" s="1" t="str">
        <f>TEXT(Sales[[#This Row],[Sale_Date]],"MMMM")</f>
        <v>May</v>
      </c>
      <c r="E414" s="1" t="str">
        <f>TEXT(Sales[[#This Row],[Sale_Date]],"DDDD")</f>
        <v>Monday</v>
      </c>
      <c r="F414" t="s">
        <v>32</v>
      </c>
      <c r="G414" t="s">
        <v>20</v>
      </c>
      <c r="H414" s="2">
        <v>9519.09</v>
      </c>
      <c r="I414">
        <v>20</v>
      </c>
      <c r="J414" t="s">
        <v>28</v>
      </c>
      <c r="K414" s="2">
        <v>2985.63</v>
      </c>
      <c r="L414" s="2">
        <v>3452.14</v>
      </c>
      <c r="M414" t="s">
        <v>29</v>
      </c>
      <c r="N414">
        <v>0.17</v>
      </c>
      <c r="O414" s="2">
        <f>(Sales[[#This Row],[Unit_Price]]-Sales[[#This Row],[Discount]]*Sales[[#This Row],[Unit_Price]])</f>
        <v>2865.2761999999998</v>
      </c>
      <c r="P414" t="s">
        <v>30</v>
      </c>
      <c r="Q414" t="s">
        <v>21</v>
      </c>
      <c r="R414" t="s">
        <v>36</v>
      </c>
    </row>
    <row r="415" spans="1:18" x14ac:dyDescent="0.35">
      <c r="A415">
        <v>1099</v>
      </c>
      <c r="B415" s="1">
        <v>45267</v>
      </c>
      <c r="C415" s="1" t="str">
        <f>TEXT(Sales[[#This Row],[Sale_Date]],"YYYY")</f>
        <v>2023</v>
      </c>
      <c r="D415" s="1" t="str">
        <f>TEXT(Sales[[#This Row],[Sale_Date]],"MMMM")</f>
        <v>December</v>
      </c>
      <c r="E415" s="1" t="str">
        <f>TEXT(Sales[[#This Row],[Sale_Date]],"DDDD")</f>
        <v>Thursday</v>
      </c>
      <c r="F415" t="s">
        <v>13</v>
      </c>
      <c r="G415" t="s">
        <v>33</v>
      </c>
      <c r="H415" s="2">
        <v>3043.18</v>
      </c>
      <c r="I415">
        <v>22</v>
      </c>
      <c r="J415" t="s">
        <v>15</v>
      </c>
      <c r="K415" s="2">
        <v>2471.67</v>
      </c>
      <c r="L415" s="2">
        <v>2533.04</v>
      </c>
      <c r="M415" t="s">
        <v>16</v>
      </c>
      <c r="N415">
        <v>0.02</v>
      </c>
      <c r="O415" s="2">
        <f>(Sales[[#This Row],[Unit_Price]]-Sales[[#This Row],[Discount]]*Sales[[#This Row],[Unit_Price]])</f>
        <v>2482.3791999999999</v>
      </c>
      <c r="P415" t="s">
        <v>26</v>
      </c>
      <c r="Q415" t="s">
        <v>21</v>
      </c>
      <c r="R415" t="s">
        <v>45</v>
      </c>
    </row>
    <row r="416" spans="1:18" x14ac:dyDescent="0.35">
      <c r="A416">
        <v>1050</v>
      </c>
      <c r="B416" s="1">
        <v>44968</v>
      </c>
      <c r="C416" s="1" t="str">
        <f>TEXT(Sales[[#This Row],[Sale_Date]],"YYYY")</f>
        <v>2023</v>
      </c>
      <c r="D416" s="1" t="str">
        <f>TEXT(Sales[[#This Row],[Sale_Date]],"MMMM")</f>
        <v>February</v>
      </c>
      <c r="E416" s="1" t="str">
        <f>TEXT(Sales[[#This Row],[Sale_Date]],"DDDD")</f>
        <v>Saturday</v>
      </c>
      <c r="F416" t="s">
        <v>32</v>
      </c>
      <c r="G416" t="s">
        <v>20</v>
      </c>
      <c r="H416" s="2">
        <v>1011.46</v>
      </c>
      <c r="I416">
        <v>48</v>
      </c>
      <c r="J416" t="s">
        <v>15</v>
      </c>
      <c r="K416" s="2">
        <v>710.06</v>
      </c>
      <c r="L416" s="2">
        <v>851.349999999999</v>
      </c>
      <c r="M416" t="s">
        <v>16</v>
      </c>
      <c r="N416">
        <v>0.04</v>
      </c>
      <c r="O416" s="2">
        <f>(Sales[[#This Row],[Unit_Price]]-Sales[[#This Row],[Discount]]*Sales[[#This Row],[Unit_Price]])</f>
        <v>817.29599999999903</v>
      </c>
      <c r="P416" t="s">
        <v>26</v>
      </c>
      <c r="Q416" t="s">
        <v>18</v>
      </c>
      <c r="R416" t="s">
        <v>36</v>
      </c>
    </row>
    <row r="417" spans="1:18" x14ac:dyDescent="0.35">
      <c r="A417">
        <v>1025</v>
      </c>
      <c r="B417" s="1">
        <v>45282</v>
      </c>
      <c r="C417" s="1" t="str">
        <f>TEXT(Sales[[#This Row],[Sale_Date]],"YYYY")</f>
        <v>2023</v>
      </c>
      <c r="D417" s="1" t="str">
        <f>TEXT(Sales[[#This Row],[Sale_Date]],"MMMM")</f>
        <v>December</v>
      </c>
      <c r="E417" s="1" t="str">
        <f>TEXT(Sales[[#This Row],[Sale_Date]],"DDDD")</f>
        <v>Friday</v>
      </c>
      <c r="F417" t="s">
        <v>13</v>
      </c>
      <c r="G417" t="s">
        <v>24</v>
      </c>
      <c r="H417" s="2">
        <v>6030.54</v>
      </c>
      <c r="I417">
        <v>11</v>
      </c>
      <c r="J417" t="s">
        <v>25</v>
      </c>
      <c r="K417" s="2">
        <v>1250.5899999999999</v>
      </c>
      <c r="L417" s="2">
        <v>1515.48999999999</v>
      </c>
      <c r="M417" t="s">
        <v>16</v>
      </c>
      <c r="N417">
        <v>0.21</v>
      </c>
      <c r="O417" s="2">
        <f>(Sales[[#This Row],[Unit_Price]]-Sales[[#This Row],[Discount]]*Sales[[#This Row],[Unit_Price]])</f>
        <v>1197.2370999999921</v>
      </c>
      <c r="P417" t="s">
        <v>26</v>
      </c>
      <c r="Q417" t="s">
        <v>21</v>
      </c>
      <c r="R417" t="s">
        <v>31</v>
      </c>
    </row>
    <row r="418" spans="1:18" x14ac:dyDescent="0.35">
      <c r="A418">
        <v>1024</v>
      </c>
      <c r="B418" s="1">
        <v>44967</v>
      </c>
      <c r="C418" s="1" t="str">
        <f>TEXT(Sales[[#This Row],[Sale_Date]],"YYYY")</f>
        <v>2023</v>
      </c>
      <c r="D418" s="1" t="str">
        <f>TEXT(Sales[[#This Row],[Sale_Date]],"MMMM")</f>
        <v>February</v>
      </c>
      <c r="E418" s="1" t="str">
        <f>TEXT(Sales[[#This Row],[Sale_Date]],"DDDD")</f>
        <v>Friday</v>
      </c>
      <c r="F418" t="s">
        <v>23</v>
      </c>
      <c r="G418" t="s">
        <v>33</v>
      </c>
      <c r="H418" s="2">
        <v>6274.12</v>
      </c>
      <c r="I418">
        <v>13</v>
      </c>
      <c r="J418" t="s">
        <v>28</v>
      </c>
      <c r="K418" s="2">
        <v>1493.88</v>
      </c>
      <c r="L418" s="2">
        <v>1781.09</v>
      </c>
      <c r="M418" t="s">
        <v>29</v>
      </c>
      <c r="N418">
        <v>0.04</v>
      </c>
      <c r="O418" s="2">
        <f>(Sales[[#This Row],[Unit_Price]]-Sales[[#This Row],[Discount]]*Sales[[#This Row],[Unit_Price]])</f>
        <v>1709.8463999999999</v>
      </c>
      <c r="P418" t="s">
        <v>17</v>
      </c>
      <c r="Q418" t="s">
        <v>21</v>
      </c>
      <c r="R418" t="s">
        <v>49</v>
      </c>
    </row>
    <row r="419" spans="1:18" x14ac:dyDescent="0.35">
      <c r="A419">
        <v>1013</v>
      </c>
      <c r="B419" s="1">
        <v>44960</v>
      </c>
      <c r="C419" s="1" t="str">
        <f>TEXT(Sales[[#This Row],[Sale_Date]],"YYYY")</f>
        <v>2023</v>
      </c>
      <c r="D419" s="1" t="str">
        <f>TEXT(Sales[[#This Row],[Sale_Date]],"MMMM")</f>
        <v>February</v>
      </c>
      <c r="E419" s="1" t="str">
        <f>TEXT(Sales[[#This Row],[Sale_Date]],"DDDD")</f>
        <v>Friday</v>
      </c>
      <c r="F419" t="s">
        <v>13</v>
      </c>
      <c r="G419" t="s">
        <v>14</v>
      </c>
      <c r="H419" s="2">
        <v>6520.2</v>
      </c>
      <c r="I419">
        <v>42</v>
      </c>
      <c r="J419" t="s">
        <v>28</v>
      </c>
      <c r="K419" s="2">
        <v>4625.33</v>
      </c>
      <c r="L419" s="2">
        <v>4642.83</v>
      </c>
      <c r="M419" t="s">
        <v>29</v>
      </c>
      <c r="N419">
        <v>0.19</v>
      </c>
      <c r="O419" s="2">
        <f>(Sales[[#This Row],[Unit_Price]]-Sales[[#This Row],[Discount]]*Sales[[#This Row],[Unit_Price]])</f>
        <v>3760.6922999999997</v>
      </c>
      <c r="P419" t="s">
        <v>30</v>
      </c>
      <c r="Q419" t="s">
        <v>18</v>
      </c>
      <c r="R419" t="s">
        <v>19</v>
      </c>
    </row>
    <row r="420" spans="1:18" x14ac:dyDescent="0.35">
      <c r="A420">
        <v>1060</v>
      </c>
      <c r="B420" s="1">
        <v>44943</v>
      </c>
      <c r="C420" s="1" t="str">
        <f>TEXT(Sales[[#This Row],[Sale_Date]],"YYYY")</f>
        <v>2023</v>
      </c>
      <c r="D420" s="1" t="str">
        <f>TEXT(Sales[[#This Row],[Sale_Date]],"MMMM")</f>
        <v>January</v>
      </c>
      <c r="E420" s="1" t="str">
        <f>TEXT(Sales[[#This Row],[Sale_Date]],"DDDD")</f>
        <v>Tuesday</v>
      </c>
      <c r="F420" t="s">
        <v>13</v>
      </c>
      <c r="G420" t="s">
        <v>24</v>
      </c>
      <c r="H420" s="2">
        <v>2747.28</v>
      </c>
      <c r="I420">
        <v>3</v>
      </c>
      <c r="J420" t="s">
        <v>34</v>
      </c>
      <c r="K420" s="2">
        <v>1190.4100000000001</v>
      </c>
      <c r="L420" s="2">
        <v>1582.89</v>
      </c>
      <c r="M420" t="s">
        <v>29</v>
      </c>
      <c r="N420">
        <v>0.02</v>
      </c>
      <c r="O420" s="2">
        <f>(Sales[[#This Row],[Unit_Price]]-Sales[[#This Row],[Discount]]*Sales[[#This Row],[Unit_Price]])</f>
        <v>1551.2322000000001</v>
      </c>
      <c r="P420" t="s">
        <v>30</v>
      </c>
      <c r="Q420" t="s">
        <v>21</v>
      </c>
      <c r="R420" t="s">
        <v>31</v>
      </c>
    </row>
    <row r="421" spans="1:18" x14ac:dyDescent="0.35">
      <c r="A421">
        <v>1007</v>
      </c>
      <c r="B421" s="1">
        <v>45091</v>
      </c>
      <c r="C421" s="1" t="str">
        <f>TEXT(Sales[[#This Row],[Sale_Date]],"YYYY")</f>
        <v>2023</v>
      </c>
      <c r="D421" s="1" t="str">
        <f>TEXT(Sales[[#This Row],[Sale_Date]],"MMMM")</f>
        <v>June</v>
      </c>
      <c r="E421" s="1" t="str">
        <f>TEXT(Sales[[#This Row],[Sale_Date]],"DDDD")</f>
        <v>Wednesday</v>
      </c>
      <c r="F421" t="s">
        <v>41</v>
      </c>
      <c r="G421" t="s">
        <v>14</v>
      </c>
      <c r="H421" s="2">
        <v>249.6</v>
      </c>
      <c r="I421">
        <v>9</v>
      </c>
      <c r="J421" t="s">
        <v>28</v>
      </c>
      <c r="K421" s="2">
        <v>1481.76</v>
      </c>
      <c r="L421" s="2">
        <v>1668.95</v>
      </c>
      <c r="M421" t="s">
        <v>16</v>
      </c>
      <c r="N421">
        <v>0.12</v>
      </c>
      <c r="O421" s="2">
        <f>(Sales[[#This Row],[Unit_Price]]-Sales[[#This Row],[Discount]]*Sales[[#This Row],[Unit_Price]])</f>
        <v>1468.6759999999999</v>
      </c>
      <c r="P421" t="s">
        <v>30</v>
      </c>
      <c r="Q421" t="s">
        <v>21</v>
      </c>
      <c r="R421" t="s">
        <v>48</v>
      </c>
    </row>
    <row r="422" spans="1:18" x14ac:dyDescent="0.35">
      <c r="A422">
        <v>1057</v>
      </c>
      <c r="B422" s="1">
        <v>45079</v>
      </c>
      <c r="C422" s="1" t="str">
        <f>TEXT(Sales[[#This Row],[Sale_Date]],"YYYY")</f>
        <v>2023</v>
      </c>
      <c r="D422" s="1" t="str">
        <f>TEXT(Sales[[#This Row],[Sale_Date]],"MMMM")</f>
        <v>June</v>
      </c>
      <c r="E422" s="1" t="str">
        <f>TEXT(Sales[[#This Row],[Sale_Date]],"DDDD")</f>
        <v>Friday</v>
      </c>
      <c r="F422" t="s">
        <v>13</v>
      </c>
      <c r="G422" t="s">
        <v>24</v>
      </c>
      <c r="H422" s="2">
        <v>9653.65</v>
      </c>
      <c r="I422">
        <v>12</v>
      </c>
      <c r="J422" t="s">
        <v>34</v>
      </c>
      <c r="K422" s="2">
        <v>1878.3</v>
      </c>
      <c r="L422" s="2">
        <v>2087.4499999999998</v>
      </c>
      <c r="M422" t="s">
        <v>29</v>
      </c>
      <c r="N422">
        <v>0.05</v>
      </c>
      <c r="O422" s="2">
        <f>(Sales[[#This Row],[Unit_Price]]-Sales[[#This Row],[Discount]]*Sales[[#This Row],[Unit_Price]])</f>
        <v>1983.0774999999999</v>
      </c>
      <c r="P422" t="s">
        <v>26</v>
      </c>
      <c r="Q422" t="s">
        <v>21</v>
      </c>
      <c r="R422" t="s">
        <v>31</v>
      </c>
    </row>
    <row r="423" spans="1:18" x14ac:dyDescent="0.35">
      <c r="A423">
        <v>1036</v>
      </c>
      <c r="B423" s="1">
        <v>45002</v>
      </c>
      <c r="C423" s="1" t="str">
        <f>TEXT(Sales[[#This Row],[Sale_Date]],"YYYY")</f>
        <v>2023</v>
      </c>
      <c r="D423" s="1" t="str">
        <f>TEXT(Sales[[#This Row],[Sale_Date]],"MMMM")</f>
        <v>March</v>
      </c>
      <c r="E423" s="1" t="str">
        <f>TEXT(Sales[[#This Row],[Sale_Date]],"DDDD")</f>
        <v>Friday</v>
      </c>
      <c r="F423" t="s">
        <v>41</v>
      </c>
      <c r="G423" t="s">
        <v>33</v>
      </c>
      <c r="H423" s="2">
        <v>2583.84</v>
      </c>
      <c r="I423">
        <v>23</v>
      </c>
      <c r="J423" t="s">
        <v>25</v>
      </c>
      <c r="K423" s="2">
        <v>3335.53</v>
      </c>
      <c r="L423" s="2">
        <v>3742.12</v>
      </c>
      <c r="M423" t="s">
        <v>29</v>
      </c>
      <c r="N423">
        <v>0.03</v>
      </c>
      <c r="O423" s="2">
        <f>(Sales[[#This Row],[Unit_Price]]-Sales[[#This Row],[Discount]]*Sales[[#This Row],[Unit_Price]])</f>
        <v>3629.8563999999997</v>
      </c>
      <c r="P423" t="s">
        <v>26</v>
      </c>
      <c r="Q423" t="s">
        <v>21</v>
      </c>
      <c r="R423" t="s">
        <v>51</v>
      </c>
    </row>
    <row r="424" spans="1:18" x14ac:dyDescent="0.35">
      <c r="A424">
        <v>1045</v>
      </c>
      <c r="B424" s="1">
        <v>45013</v>
      </c>
      <c r="C424" s="1" t="str">
        <f>TEXT(Sales[[#This Row],[Sale_Date]],"YYYY")</f>
        <v>2023</v>
      </c>
      <c r="D424" s="1" t="str">
        <f>TEXT(Sales[[#This Row],[Sale_Date]],"MMMM")</f>
        <v>March</v>
      </c>
      <c r="E424" s="1" t="str">
        <f>TEXT(Sales[[#This Row],[Sale_Date]],"DDDD")</f>
        <v>Tuesday</v>
      </c>
      <c r="F424" t="s">
        <v>37</v>
      </c>
      <c r="G424" t="s">
        <v>20</v>
      </c>
      <c r="H424" s="2">
        <v>6792.66</v>
      </c>
      <c r="I424">
        <v>14</v>
      </c>
      <c r="J424" t="s">
        <v>28</v>
      </c>
      <c r="K424" s="2">
        <v>635.28</v>
      </c>
      <c r="L424" s="2">
        <v>831.13</v>
      </c>
      <c r="M424" t="s">
        <v>16</v>
      </c>
      <c r="N424">
        <v>0.17</v>
      </c>
      <c r="O424" s="2">
        <f>(Sales[[#This Row],[Unit_Price]]-Sales[[#This Row],[Discount]]*Sales[[#This Row],[Unit_Price]])</f>
        <v>689.83789999999999</v>
      </c>
      <c r="P424" t="s">
        <v>26</v>
      </c>
      <c r="Q424" t="s">
        <v>21</v>
      </c>
      <c r="R424" t="s">
        <v>40</v>
      </c>
    </row>
    <row r="425" spans="1:18" x14ac:dyDescent="0.35">
      <c r="A425">
        <v>1020</v>
      </c>
      <c r="B425" s="1">
        <v>45043</v>
      </c>
      <c r="C425" s="1" t="str">
        <f>TEXT(Sales[[#This Row],[Sale_Date]],"YYYY")</f>
        <v>2023</v>
      </c>
      <c r="D425" s="1" t="str">
        <f>TEXT(Sales[[#This Row],[Sale_Date]],"MMMM")</f>
        <v>April</v>
      </c>
      <c r="E425" s="1" t="str">
        <f>TEXT(Sales[[#This Row],[Sale_Date]],"DDDD")</f>
        <v>Thursday</v>
      </c>
      <c r="F425" t="s">
        <v>41</v>
      </c>
      <c r="G425" t="s">
        <v>24</v>
      </c>
      <c r="H425" s="2">
        <v>7095.64</v>
      </c>
      <c r="I425">
        <v>33</v>
      </c>
      <c r="J425" t="s">
        <v>15</v>
      </c>
      <c r="K425" s="2">
        <v>4772.03</v>
      </c>
      <c r="L425" s="2">
        <v>4805.17</v>
      </c>
      <c r="M425" t="s">
        <v>16</v>
      </c>
      <c r="N425">
        <v>0.28000000000000003</v>
      </c>
      <c r="O425" s="2">
        <f>(Sales[[#This Row],[Unit_Price]]-Sales[[#This Row],[Discount]]*Sales[[#This Row],[Unit_Price]])</f>
        <v>3459.7223999999997</v>
      </c>
      <c r="P425" t="s">
        <v>26</v>
      </c>
      <c r="Q425" t="s">
        <v>18</v>
      </c>
      <c r="R425" t="s">
        <v>42</v>
      </c>
    </row>
    <row r="426" spans="1:18" x14ac:dyDescent="0.35">
      <c r="A426">
        <v>1065</v>
      </c>
      <c r="B426" s="1">
        <v>45288</v>
      </c>
      <c r="C426" s="1" t="str">
        <f>TEXT(Sales[[#This Row],[Sale_Date]],"YYYY")</f>
        <v>2023</v>
      </c>
      <c r="D426" s="1" t="str">
        <f>TEXT(Sales[[#This Row],[Sale_Date]],"MMMM")</f>
        <v>December</v>
      </c>
      <c r="E426" s="1" t="str">
        <f>TEXT(Sales[[#This Row],[Sale_Date]],"DDDD")</f>
        <v>Thursday</v>
      </c>
      <c r="F426" t="s">
        <v>23</v>
      </c>
      <c r="G426" t="s">
        <v>20</v>
      </c>
      <c r="H426" s="2">
        <v>6139.07</v>
      </c>
      <c r="I426">
        <v>18</v>
      </c>
      <c r="J426" t="s">
        <v>25</v>
      </c>
      <c r="K426" s="2">
        <v>4334.58</v>
      </c>
      <c r="L426" s="2">
        <v>4431.04</v>
      </c>
      <c r="M426" t="s">
        <v>29</v>
      </c>
      <c r="N426">
        <v>0.02</v>
      </c>
      <c r="O426" s="2">
        <f>(Sales[[#This Row],[Unit_Price]]-Sales[[#This Row],[Discount]]*Sales[[#This Row],[Unit_Price]])</f>
        <v>4342.4192000000003</v>
      </c>
      <c r="P426" t="s">
        <v>26</v>
      </c>
      <c r="Q426" t="s">
        <v>21</v>
      </c>
      <c r="R426" t="s">
        <v>46</v>
      </c>
    </row>
    <row r="427" spans="1:18" x14ac:dyDescent="0.35">
      <c r="A427">
        <v>1008</v>
      </c>
      <c r="B427" s="1">
        <v>45268</v>
      </c>
      <c r="C427" s="1" t="str">
        <f>TEXT(Sales[[#This Row],[Sale_Date]],"YYYY")</f>
        <v>2023</v>
      </c>
      <c r="D427" s="1" t="str">
        <f>TEXT(Sales[[#This Row],[Sale_Date]],"MMMM")</f>
        <v>December</v>
      </c>
      <c r="E427" s="1" t="str">
        <f>TEXT(Sales[[#This Row],[Sale_Date]],"DDDD")</f>
        <v>Friday</v>
      </c>
      <c r="F427" t="s">
        <v>41</v>
      </c>
      <c r="G427" t="s">
        <v>24</v>
      </c>
      <c r="H427" s="2">
        <v>3197.78</v>
      </c>
      <c r="I427">
        <v>49</v>
      </c>
      <c r="J427" t="s">
        <v>34</v>
      </c>
      <c r="K427" s="2">
        <v>2907.22</v>
      </c>
      <c r="L427" s="2">
        <v>3385.6099999999901</v>
      </c>
      <c r="M427" t="s">
        <v>29</v>
      </c>
      <c r="N427">
        <v>0.13</v>
      </c>
      <c r="O427" s="2">
        <f>(Sales[[#This Row],[Unit_Price]]-Sales[[#This Row],[Discount]]*Sales[[#This Row],[Unit_Price]])</f>
        <v>2945.4806999999914</v>
      </c>
      <c r="P427" t="s">
        <v>17</v>
      </c>
      <c r="Q427" t="s">
        <v>18</v>
      </c>
      <c r="R427" t="s">
        <v>42</v>
      </c>
    </row>
    <row r="428" spans="1:18" x14ac:dyDescent="0.35">
      <c r="A428">
        <v>1016</v>
      </c>
      <c r="B428" s="1">
        <v>44953</v>
      </c>
      <c r="C428" s="1" t="str">
        <f>TEXT(Sales[[#This Row],[Sale_Date]],"YYYY")</f>
        <v>2023</v>
      </c>
      <c r="D428" s="1" t="str">
        <f>TEXT(Sales[[#This Row],[Sale_Date]],"MMMM")</f>
        <v>January</v>
      </c>
      <c r="E428" s="1" t="str">
        <f>TEXT(Sales[[#This Row],[Sale_Date]],"DDDD")</f>
        <v>Friday</v>
      </c>
      <c r="F428" t="s">
        <v>37</v>
      </c>
      <c r="G428" t="s">
        <v>14</v>
      </c>
      <c r="H428" s="2">
        <v>2783.85</v>
      </c>
      <c r="I428">
        <v>41</v>
      </c>
      <c r="J428" t="s">
        <v>25</v>
      </c>
      <c r="K428" s="2">
        <v>3386.49</v>
      </c>
      <c r="L428" s="2">
        <v>3430.99</v>
      </c>
      <c r="M428" t="s">
        <v>29</v>
      </c>
      <c r="N428">
        <v>0.21</v>
      </c>
      <c r="O428" s="2">
        <f>(Sales[[#This Row],[Unit_Price]]-Sales[[#This Row],[Discount]]*Sales[[#This Row],[Unit_Price]])</f>
        <v>2710.4820999999997</v>
      </c>
      <c r="P428" t="s">
        <v>26</v>
      </c>
      <c r="Q428" t="s">
        <v>21</v>
      </c>
      <c r="R428" t="s">
        <v>39</v>
      </c>
    </row>
    <row r="429" spans="1:18" x14ac:dyDescent="0.35">
      <c r="A429">
        <v>1014</v>
      </c>
      <c r="B429" s="1">
        <v>45239</v>
      </c>
      <c r="C429" s="1" t="str">
        <f>TEXT(Sales[[#This Row],[Sale_Date]],"YYYY")</f>
        <v>2023</v>
      </c>
      <c r="D429" s="1" t="str">
        <f>TEXT(Sales[[#This Row],[Sale_Date]],"MMMM")</f>
        <v>November</v>
      </c>
      <c r="E429" s="1" t="str">
        <f>TEXT(Sales[[#This Row],[Sale_Date]],"DDDD")</f>
        <v>Thursday</v>
      </c>
      <c r="F429" t="s">
        <v>23</v>
      </c>
      <c r="G429" t="s">
        <v>14</v>
      </c>
      <c r="H429" s="2">
        <v>6016.92</v>
      </c>
      <c r="I429">
        <v>9</v>
      </c>
      <c r="J429" t="s">
        <v>34</v>
      </c>
      <c r="K429" s="2">
        <v>132.47</v>
      </c>
      <c r="L429" s="2">
        <v>316.39</v>
      </c>
      <c r="M429" t="s">
        <v>29</v>
      </c>
      <c r="N429">
        <v>0.14000000000000001</v>
      </c>
      <c r="O429" s="2">
        <f>(Sales[[#This Row],[Unit_Price]]-Sales[[#This Row],[Discount]]*Sales[[#This Row],[Unit_Price]])</f>
        <v>272.09539999999998</v>
      </c>
      <c r="P429" t="s">
        <v>30</v>
      </c>
      <c r="Q429" t="s">
        <v>18</v>
      </c>
      <c r="R429" t="s">
        <v>44</v>
      </c>
    </row>
    <row r="430" spans="1:18" x14ac:dyDescent="0.35">
      <c r="A430">
        <v>1076</v>
      </c>
      <c r="B430" s="1">
        <v>45213</v>
      </c>
      <c r="C430" s="1" t="str">
        <f>TEXT(Sales[[#This Row],[Sale_Date]],"YYYY")</f>
        <v>2023</v>
      </c>
      <c r="D430" s="1" t="str">
        <f>TEXT(Sales[[#This Row],[Sale_Date]],"MMMM")</f>
        <v>October</v>
      </c>
      <c r="E430" s="1" t="str">
        <f>TEXT(Sales[[#This Row],[Sale_Date]],"DDDD")</f>
        <v>Saturday</v>
      </c>
      <c r="F430" t="s">
        <v>32</v>
      </c>
      <c r="G430" t="s">
        <v>24</v>
      </c>
      <c r="H430" s="2">
        <v>8674.35</v>
      </c>
      <c r="I430">
        <v>23</v>
      </c>
      <c r="J430" t="s">
        <v>25</v>
      </c>
      <c r="K430" s="2">
        <v>1727.78</v>
      </c>
      <c r="L430" s="2">
        <v>1984.34</v>
      </c>
      <c r="M430" t="s">
        <v>16</v>
      </c>
      <c r="N430">
        <v>0.24</v>
      </c>
      <c r="O430" s="2">
        <f>(Sales[[#This Row],[Unit_Price]]-Sales[[#This Row],[Discount]]*Sales[[#This Row],[Unit_Price]])</f>
        <v>1508.0983999999999</v>
      </c>
      <c r="P430" t="s">
        <v>26</v>
      </c>
      <c r="Q430" t="s">
        <v>18</v>
      </c>
      <c r="R430" t="s">
        <v>43</v>
      </c>
    </row>
    <row r="431" spans="1:18" x14ac:dyDescent="0.35">
      <c r="A431">
        <v>1087</v>
      </c>
      <c r="B431" s="1">
        <v>45060</v>
      </c>
      <c r="C431" s="1" t="str">
        <f>TEXT(Sales[[#This Row],[Sale_Date]],"YYYY")</f>
        <v>2023</v>
      </c>
      <c r="D431" s="1" t="str">
        <f>TEXT(Sales[[#This Row],[Sale_Date]],"MMMM")</f>
        <v>May</v>
      </c>
      <c r="E431" s="1" t="str">
        <f>TEXT(Sales[[#This Row],[Sale_Date]],"DDDD")</f>
        <v>Sunday</v>
      </c>
      <c r="F431" t="s">
        <v>32</v>
      </c>
      <c r="G431" t="s">
        <v>20</v>
      </c>
      <c r="H431" s="2">
        <v>9472.66</v>
      </c>
      <c r="I431">
        <v>10</v>
      </c>
      <c r="J431" t="s">
        <v>34</v>
      </c>
      <c r="K431" s="2">
        <v>3988.52</v>
      </c>
      <c r="L431" s="2">
        <v>4240.2299999999996</v>
      </c>
      <c r="M431" t="s">
        <v>29</v>
      </c>
      <c r="N431">
        <v>0.05</v>
      </c>
      <c r="O431" s="2">
        <f>(Sales[[#This Row],[Unit_Price]]-Sales[[#This Row],[Discount]]*Sales[[#This Row],[Unit_Price]])</f>
        <v>4028.2184999999995</v>
      </c>
      <c r="P431" t="s">
        <v>30</v>
      </c>
      <c r="Q431" t="s">
        <v>18</v>
      </c>
      <c r="R431" t="s">
        <v>36</v>
      </c>
    </row>
    <row r="432" spans="1:18" x14ac:dyDescent="0.35">
      <c r="A432">
        <v>1015</v>
      </c>
      <c r="B432" s="1">
        <v>45145</v>
      </c>
      <c r="C432" s="1" t="str">
        <f>TEXT(Sales[[#This Row],[Sale_Date]],"YYYY")</f>
        <v>2023</v>
      </c>
      <c r="D432" s="1" t="str">
        <f>TEXT(Sales[[#This Row],[Sale_Date]],"MMMM")</f>
        <v>August</v>
      </c>
      <c r="E432" s="1" t="str">
        <f>TEXT(Sales[[#This Row],[Sale_Date]],"DDDD")</f>
        <v>Monday</v>
      </c>
      <c r="F432" t="s">
        <v>41</v>
      </c>
      <c r="G432" t="s">
        <v>33</v>
      </c>
      <c r="H432" s="2">
        <v>1148.47</v>
      </c>
      <c r="I432">
        <v>19</v>
      </c>
      <c r="J432" t="s">
        <v>28</v>
      </c>
      <c r="K432" s="2">
        <v>433.54</v>
      </c>
      <c r="L432" s="2">
        <v>445.48</v>
      </c>
      <c r="M432" t="s">
        <v>29</v>
      </c>
      <c r="N432">
        <v>0.28999999999999998</v>
      </c>
      <c r="O432" s="2">
        <f>(Sales[[#This Row],[Unit_Price]]-Sales[[#This Row],[Discount]]*Sales[[#This Row],[Unit_Price]])</f>
        <v>316.29079999999999</v>
      </c>
      <c r="P432" t="s">
        <v>26</v>
      </c>
      <c r="Q432" t="s">
        <v>21</v>
      </c>
      <c r="R432" t="s">
        <v>51</v>
      </c>
    </row>
    <row r="433" spans="1:18" x14ac:dyDescent="0.35">
      <c r="A433">
        <v>1092</v>
      </c>
      <c r="B433" s="1">
        <v>45094</v>
      </c>
      <c r="C433" s="1" t="str">
        <f>TEXT(Sales[[#This Row],[Sale_Date]],"YYYY")</f>
        <v>2023</v>
      </c>
      <c r="D433" s="1" t="str">
        <f>TEXT(Sales[[#This Row],[Sale_Date]],"MMMM")</f>
        <v>June</v>
      </c>
      <c r="E433" s="1" t="str">
        <f>TEXT(Sales[[#This Row],[Sale_Date]],"DDDD")</f>
        <v>Saturday</v>
      </c>
      <c r="F433" t="s">
        <v>41</v>
      </c>
      <c r="G433" t="s">
        <v>33</v>
      </c>
      <c r="H433" s="2">
        <v>1632.8</v>
      </c>
      <c r="I433">
        <v>47</v>
      </c>
      <c r="J433" t="s">
        <v>15</v>
      </c>
      <c r="K433" s="2">
        <v>1447.45</v>
      </c>
      <c r="L433" s="2">
        <v>1703.02</v>
      </c>
      <c r="M433" t="s">
        <v>16</v>
      </c>
      <c r="N433">
        <v>0.12</v>
      </c>
      <c r="O433" s="2">
        <f>(Sales[[#This Row],[Unit_Price]]-Sales[[#This Row],[Discount]]*Sales[[#This Row],[Unit_Price]])</f>
        <v>1498.6576</v>
      </c>
      <c r="P433" t="s">
        <v>26</v>
      </c>
      <c r="Q433" t="s">
        <v>21</v>
      </c>
      <c r="R433" t="s">
        <v>51</v>
      </c>
    </row>
    <row r="434" spans="1:18" x14ac:dyDescent="0.35">
      <c r="A434">
        <v>1098</v>
      </c>
      <c r="B434" s="1">
        <v>45024</v>
      </c>
      <c r="C434" s="1" t="str">
        <f>TEXT(Sales[[#This Row],[Sale_Date]],"YYYY")</f>
        <v>2023</v>
      </c>
      <c r="D434" s="1" t="str">
        <f>TEXT(Sales[[#This Row],[Sale_Date]],"MMMM")</f>
        <v>April</v>
      </c>
      <c r="E434" s="1" t="str">
        <f>TEXT(Sales[[#This Row],[Sale_Date]],"DDDD")</f>
        <v>Saturday</v>
      </c>
      <c r="F434" t="s">
        <v>37</v>
      </c>
      <c r="G434" t="s">
        <v>14</v>
      </c>
      <c r="H434" s="2">
        <v>9452.89</v>
      </c>
      <c r="I434">
        <v>5</v>
      </c>
      <c r="J434" t="s">
        <v>34</v>
      </c>
      <c r="K434" s="2">
        <v>2947.22</v>
      </c>
      <c r="L434" s="2">
        <v>3145.27</v>
      </c>
      <c r="M434" t="s">
        <v>29</v>
      </c>
      <c r="N434">
        <v>0.1</v>
      </c>
      <c r="O434" s="2">
        <f>(Sales[[#This Row],[Unit_Price]]-Sales[[#This Row],[Discount]]*Sales[[#This Row],[Unit_Price]])</f>
        <v>2830.7429999999999</v>
      </c>
      <c r="P434" t="s">
        <v>30</v>
      </c>
      <c r="Q434" t="s">
        <v>21</v>
      </c>
      <c r="R434" t="s">
        <v>39</v>
      </c>
    </row>
    <row r="435" spans="1:18" x14ac:dyDescent="0.35">
      <c r="A435">
        <v>1066</v>
      </c>
      <c r="B435" s="1">
        <v>45194</v>
      </c>
      <c r="C435" s="1" t="str">
        <f>TEXT(Sales[[#This Row],[Sale_Date]],"YYYY")</f>
        <v>2023</v>
      </c>
      <c r="D435" s="1" t="str">
        <f>TEXT(Sales[[#This Row],[Sale_Date]],"MMMM")</f>
        <v>September</v>
      </c>
      <c r="E435" s="1" t="str">
        <f>TEXT(Sales[[#This Row],[Sale_Date]],"DDDD")</f>
        <v>Monday</v>
      </c>
      <c r="F435" t="s">
        <v>37</v>
      </c>
      <c r="G435" t="s">
        <v>33</v>
      </c>
      <c r="H435" s="2">
        <v>7391.7</v>
      </c>
      <c r="I435">
        <v>47</v>
      </c>
      <c r="J435" t="s">
        <v>25</v>
      </c>
      <c r="K435" s="2">
        <v>1319.24</v>
      </c>
      <c r="L435" s="2">
        <v>1805.56</v>
      </c>
      <c r="M435" t="s">
        <v>29</v>
      </c>
      <c r="N435">
        <v>0.26</v>
      </c>
      <c r="O435" s="2">
        <f>(Sales[[#This Row],[Unit_Price]]-Sales[[#This Row],[Discount]]*Sales[[#This Row],[Unit_Price]])</f>
        <v>1336.1143999999999</v>
      </c>
      <c r="P435" t="s">
        <v>30</v>
      </c>
      <c r="Q435" t="s">
        <v>21</v>
      </c>
      <c r="R435" t="s">
        <v>47</v>
      </c>
    </row>
    <row r="436" spans="1:18" x14ac:dyDescent="0.35">
      <c r="A436">
        <v>1032</v>
      </c>
      <c r="B436" s="1">
        <v>45163</v>
      </c>
      <c r="C436" s="1" t="str">
        <f>TEXT(Sales[[#This Row],[Sale_Date]],"YYYY")</f>
        <v>2023</v>
      </c>
      <c r="D436" s="1" t="str">
        <f>TEXT(Sales[[#This Row],[Sale_Date]],"MMMM")</f>
        <v>August</v>
      </c>
      <c r="E436" s="1" t="str">
        <f>TEXT(Sales[[#This Row],[Sale_Date]],"DDDD")</f>
        <v>Friday</v>
      </c>
      <c r="F436" t="s">
        <v>13</v>
      </c>
      <c r="G436" t="s">
        <v>14</v>
      </c>
      <c r="H436" s="2">
        <v>8841.64</v>
      </c>
      <c r="I436">
        <v>23</v>
      </c>
      <c r="J436" t="s">
        <v>34</v>
      </c>
      <c r="K436" s="2">
        <v>4673.1899999999996</v>
      </c>
      <c r="L436" s="2">
        <v>4761.1799999999903</v>
      </c>
      <c r="M436" t="s">
        <v>16</v>
      </c>
      <c r="N436">
        <v>0.17</v>
      </c>
      <c r="O436" s="2">
        <f>(Sales[[#This Row],[Unit_Price]]-Sales[[#This Row],[Discount]]*Sales[[#This Row],[Unit_Price]])</f>
        <v>3951.7793999999917</v>
      </c>
      <c r="P436" t="s">
        <v>30</v>
      </c>
      <c r="Q436" t="s">
        <v>21</v>
      </c>
      <c r="R436" t="s">
        <v>19</v>
      </c>
    </row>
    <row r="437" spans="1:18" x14ac:dyDescent="0.35">
      <c r="A437">
        <v>1087</v>
      </c>
      <c r="B437" s="1">
        <v>45235</v>
      </c>
      <c r="C437" s="1" t="str">
        <f>TEXT(Sales[[#This Row],[Sale_Date]],"YYYY")</f>
        <v>2023</v>
      </c>
      <c r="D437" s="1" t="str">
        <f>TEXT(Sales[[#This Row],[Sale_Date]],"MMMM")</f>
        <v>November</v>
      </c>
      <c r="E437" s="1" t="str">
        <f>TEXT(Sales[[#This Row],[Sale_Date]],"DDDD")</f>
        <v>Sunday</v>
      </c>
      <c r="F437" t="s">
        <v>37</v>
      </c>
      <c r="G437" t="s">
        <v>33</v>
      </c>
      <c r="H437" s="2">
        <v>2106.06</v>
      </c>
      <c r="I437">
        <v>30</v>
      </c>
      <c r="J437" t="s">
        <v>34</v>
      </c>
      <c r="K437" s="2">
        <v>698.74</v>
      </c>
      <c r="L437" s="2">
        <v>882.28</v>
      </c>
      <c r="M437" t="s">
        <v>16</v>
      </c>
      <c r="N437">
        <v>0.15</v>
      </c>
      <c r="O437" s="2">
        <f>(Sales[[#This Row],[Unit_Price]]-Sales[[#This Row],[Discount]]*Sales[[#This Row],[Unit_Price]])</f>
        <v>749.93799999999999</v>
      </c>
      <c r="P437" t="s">
        <v>30</v>
      </c>
      <c r="Q437" t="s">
        <v>18</v>
      </c>
      <c r="R437" t="s">
        <v>47</v>
      </c>
    </row>
    <row r="438" spans="1:18" x14ac:dyDescent="0.35">
      <c r="A438">
        <v>1063</v>
      </c>
      <c r="B438" s="1">
        <v>45099</v>
      </c>
      <c r="C438" s="1" t="str">
        <f>TEXT(Sales[[#This Row],[Sale_Date]],"YYYY")</f>
        <v>2023</v>
      </c>
      <c r="D438" s="1" t="str">
        <f>TEXT(Sales[[#This Row],[Sale_Date]],"MMMM")</f>
        <v>June</v>
      </c>
      <c r="E438" s="1" t="str">
        <f>TEXT(Sales[[#This Row],[Sale_Date]],"DDDD")</f>
        <v>Thursday</v>
      </c>
      <c r="F438" t="s">
        <v>13</v>
      </c>
      <c r="G438" t="s">
        <v>24</v>
      </c>
      <c r="H438" s="2">
        <v>5917.1</v>
      </c>
      <c r="I438">
        <v>25</v>
      </c>
      <c r="J438" t="s">
        <v>34</v>
      </c>
      <c r="K438" s="2">
        <v>3997.1</v>
      </c>
      <c r="L438" s="2">
        <v>4212.6499999999996</v>
      </c>
      <c r="M438" t="s">
        <v>29</v>
      </c>
      <c r="N438">
        <v>0.22</v>
      </c>
      <c r="O438" s="2">
        <f>(Sales[[#This Row],[Unit_Price]]-Sales[[#This Row],[Discount]]*Sales[[#This Row],[Unit_Price]])</f>
        <v>3285.8669999999997</v>
      </c>
      <c r="P438" t="s">
        <v>17</v>
      </c>
      <c r="Q438" t="s">
        <v>18</v>
      </c>
      <c r="R438" t="s">
        <v>31</v>
      </c>
    </row>
    <row r="439" spans="1:18" x14ac:dyDescent="0.35">
      <c r="A439">
        <v>1086</v>
      </c>
      <c r="B439" s="1">
        <v>45116</v>
      </c>
      <c r="C439" s="1" t="str">
        <f>TEXT(Sales[[#This Row],[Sale_Date]],"YYYY")</f>
        <v>2023</v>
      </c>
      <c r="D439" s="1" t="str">
        <f>TEXT(Sales[[#This Row],[Sale_Date]],"MMMM")</f>
        <v>July</v>
      </c>
      <c r="E439" s="1" t="str">
        <f>TEXT(Sales[[#This Row],[Sale_Date]],"DDDD")</f>
        <v>Sunday</v>
      </c>
      <c r="F439" t="s">
        <v>23</v>
      </c>
      <c r="G439" t="s">
        <v>14</v>
      </c>
      <c r="H439" s="2">
        <v>7041.28</v>
      </c>
      <c r="I439">
        <v>28</v>
      </c>
      <c r="J439" t="s">
        <v>25</v>
      </c>
      <c r="K439" s="2">
        <v>2564.35</v>
      </c>
      <c r="L439" s="2">
        <v>2765.79</v>
      </c>
      <c r="M439" t="s">
        <v>16</v>
      </c>
      <c r="N439">
        <v>0.17</v>
      </c>
      <c r="O439" s="2">
        <f>(Sales[[#This Row],[Unit_Price]]-Sales[[#This Row],[Discount]]*Sales[[#This Row],[Unit_Price]])</f>
        <v>2295.6057000000001</v>
      </c>
      <c r="P439" t="s">
        <v>30</v>
      </c>
      <c r="Q439" t="s">
        <v>18</v>
      </c>
      <c r="R439" t="s">
        <v>44</v>
      </c>
    </row>
    <row r="440" spans="1:18" x14ac:dyDescent="0.35">
      <c r="A440">
        <v>1051</v>
      </c>
      <c r="B440" s="1">
        <v>45048</v>
      </c>
      <c r="C440" s="1" t="str">
        <f>TEXT(Sales[[#This Row],[Sale_Date]],"YYYY")</f>
        <v>2023</v>
      </c>
      <c r="D440" s="1" t="str">
        <f>TEXT(Sales[[#This Row],[Sale_Date]],"MMMM")</f>
        <v>May</v>
      </c>
      <c r="E440" s="1" t="str">
        <f>TEXT(Sales[[#This Row],[Sale_Date]],"DDDD")</f>
        <v>Tuesday</v>
      </c>
      <c r="F440" t="s">
        <v>41</v>
      </c>
      <c r="G440" t="s">
        <v>14</v>
      </c>
      <c r="H440" s="2">
        <v>6833.11</v>
      </c>
      <c r="I440">
        <v>34</v>
      </c>
      <c r="J440" t="s">
        <v>15</v>
      </c>
      <c r="K440" s="2">
        <v>3764.14</v>
      </c>
      <c r="L440" s="2">
        <v>4100.3999999999996</v>
      </c>
      <c r="M440" t="s">
        <v>16</v>
      </c>
      <c r="N440">
        <v>0.05</v>
      </c>
      <c r="O440" s="2">
        <f>(Sales[[#This Row],[Unit_Price]]-Sales[[#This Row],[Discount]]*Sales[[#This Row],[Unit_Price]])</f>
        <v>3895.3799999999997</v>
      </c>
      <c r="P440" t="s">
        <v>26</v>
      </c>
      <c r="Q440" t="s">
        <v>21</v>
      </c>
      <c r="R440" t="s">
        <v>48</v>
      </c>
    </row>
    <row r="441" spans="1:18" x14ac:dyDescent="0.35">
      <c r="A441">
        <v>1025</v>
      </c>
      <c r="B441" s="1">
        <v>44972</v>
      </c>
      <c r="C441" s="1" t="str">
        <f>TEXT(Sales[[#This Row],[Sale_Date]],"YYYY")</f>
        <v>2023</v>
      </c>
      <c r="D441" s="1" t="str">
        <f>TEXT(Sales[[#This Row],[Sale_Date]],"MMMM")</f>
        <v>February</v>
      </c>
      <c r="E441" s="1" t="str">
        <f>TEXT(Sales[[#This Row],[Sale_Date]],"DDDD")</f>
        <v>Wednesday</v>
      </c>
      <c r="F441" t="s">
        <v>23</v>
      </c>
      <c r="G441" t="s">
        <v>24</v>
      </c>
      <c r="H441" s="2">
        <v>4140.7</v>
      </c>
      <c r="I441">
        <v>45</v>
      </c>
      <c r="J441" t="s">
        <v>28</v>
      </c>
      <c r="K441" s="2">
        <v>1588.04</v>
      </c>
      <c r="L441" s="2">
        <v>1703.6399999999901</v>
      </c>
      <c r="M441" t="s">
        <v>29</v>
      </c>
      <c r="N441">
        <v>0.2</v>
      </c>
      <c r="O441" s="2">
        <f>(Sales[[#This Row],[Unit_Price]]-Sales[[#This Row],[Discount]]*Sales[[#This Row],[Unit_Price]])</f>
        <v>1362.9119999999921</v>
      </c>
      <c r="P441" t="s">
        <v>26</v>
      </c>
      <c r="Q441" t="s">
        <v>21</v>
      </c>
      <c r="R441" t="s">
        <v>27</v>
      </c>
    </row>
    <row r="442" spans="1:18" x14ac:dyDescent="0.35">
      <c r="A442">
        <v>1058</v>
      </c>
      <c r="B442" s="1">
        <v>44990</v>
      </c>
      <c r="C442" s="1" t="str">
        <f>TEXT(Sales[[#This Row],[Sale_Date]],"YYYY")</f>
        <v>2023</v>
      </c>
      <c r="D442" s="1" t="str">
        <f>TEXT(Sales[[#This Row],[Sale_Date]],"MMMM")</f>
        <v>March</v>
      </c>
      <c r="E442" s="1" t="str">
        <f>TEXT(Sales[[#This Row],[Sale_Date]],"DDDD")</f>
        <v>Sunday</v>
      </c>
      <c r="F442" t="s">
        <v>37</v>
      </c>
      <c r="G442" t="s">
        <v>14</v>
      </c>
      <c r="H442" s="2">
        <v>252.41</v>
      </c>
      <c r="I442">
        <v>48</v>
      </c>
      <c r="J442" t="s">
        <v>15</v>
      </c>
      <c r="K442" s="2">
        <v>2596.7199999999998</v>
      </c>
      <c r="L442" s="2">
        <v>2715.0499999999902</v>
      </c>
      <c r="M442" t="s">
        <v>16</v>
      </c>
      <c r="N442">
        <v>0.04</v>
      </c>
      <c r="O442" s="2">
        <f>(Sales[[#This Row],[Unit_Price]]-Sales[[#This Row],[Discount]]*Sales[[#This Row],[Unit_Price]])</f>
        <v>2606.4479999999908</v>
      </c>
      <c r="P442" t="s">
        <v>17</v>
      </c>
      <c r="Q442" t="s">
        <v>18</v>
      </c>
      <c r="R442" t="s">
        <v>39</v>
      </c>
    </row>
    <row r="443" spans="1:18" x14ac:dyDescent="0.35">
      <c r="A443">
        <v>1063</v>
      </c>
      <c r="B443" s="1">
        <v>45056</v>
      </c>
      <c r="C443" s="1" t="str">
        <f>TEXT(Sales[[#This Row],[Sale_Date]],"YYYY")</f>
        <v>2023</v>
      </c>
      <c r="D443" s="1" t="str">
        <f>TEXT(Sales[[#This Row],[Sale_Date]],"MMMM")</f>
        <v>May</v>
      </c>
      <c r="E443" s="1" t="str">
        <f>TEXT(Sales[[#This Row],[Sale_Date]],"DDDD")</f>
        <v>Wednesday</v>
      </c>
      <c r="F443" t="s">
        <v>23</v>
      </c>
      <c r="G443" t="s">
        <v>33</v>
      </c>
      <c r="H443" s="2">
        <v>5870.97</v>
      </c>
      <c r="I443">
        <v>47</v>
      </c>
      <c r="J443" t="s">
        <v>34</v>
      </c>
      <c r="K443" s="2">
        <v>4291.33</v>
      </c>
      <c r="L443" s="2">
        <v>4658.6400000000003</v>
      </c>
      <c r="M443" t="s">
        <v>29</v>
      </c>
      <c r="N443">
        <v>0.24</v>
      </c>
      <c r="O443" s="2">
        <f>(Sales[[#This Row],[Unit_Price]]-Sales[[#This Row],[Discount]]*Sales[[#This Row],[Unit_Price]])</f>
        <v>3540.5664000000006</v>
      </c>
      <c r="P443" t="s">
        <v>30</v>
      </c>
      <c r="Q443" t="s">
        <v>21</v>
      </c>
      <c r="R443" t="s">
        <v>49</v>
      </c>
    </row>
    <row r="444" spans="1:18" x14ac:dyDescent="0.35">
      <c r="A444">
        <v>1062</v>
      </c>
      <c r="B444" s="1">
        <v>45236</v>
      </c>
      <c r="C444" s="1" t="str">
        <f>TEXT(Sales[[#This Row],[Sale_Date]],"YYYY")</f>
        <v>2023</v>
      </c>
      <c r="D444" s="1" t="str">
        <f>TEXT(Sales[[#This Row],[Sale_Date]],"MMMM")</f>
        <v>November</v>
      </c>
      <c r="E444" s="1" t="str">
        <f>TEXT(Sales[[#This Row],[Sale_Date]],"DDDD")</f>
        <v>Monday</v>
      </c>
      <c r="F444" t="s">
        <v>23</v>
      </c>
      <c r="G444" t="s">
        <v>33</v>
      </c>
      <c r="H444" s="2">
        <v>2605.71</v>
      </c>
      <c r="I444">
        <v>25</v>
      </c>
      <c r="J444" t="s">
        <v>25</v>
      </c>
      <c r="K444" s="2">
        <v>2361.0500000000002</v>
      </c>
      <c r="L444" s="2">
        <v>2616.19</v>
      </c>
      <c r="M444" t="s">
        <v>29</v>
      </c>
      <c r="N444">
        <v>0.3</v>
      </c>
      <c r="O444" s="2">
        <f>(Sales[[#This Row],[Unit_Price]]-Sales[[#This Row],[Discount]]*Sales[[#This Row],[Unit_Price]])</f>
        <v>1831.3330000000001</v>
      </c>
      <c r="P444" t="s">
        <v>26</v>
      </c>
      <c r="Q444" t="s">
        <v>21</v>
      </c>
      <c r="R444" t="s">
        <v>49</v>
      </c>
    </row>
    <row r="445" spans="1:18" x14ac:dyDescent="0.35">
      <c r="A445">
        <v>1022</v>
      </c>
      <c r="B445" s="1">
        <v>45289</v>
      </c>
      <c r="C445" s="1" t="str">
        <f>TEXT(Sales[[#This Row],[Sale_Date]],"YYYY")</f>
        <v>2023</v>
      </c>
      <c r="D445" s="1" t="str">
        <f>TEXT(Sales[[#This Row],[Sale_Date]],"MMMM")</f>
        <v>December</v>
      </c>
      <c r="E445" s="1" t="str">
        <f>TEXT(Sales[[#This Row],[Sale_Date]],"DDDD")</f>
        <v>Friday</v>
      </c>
      <c r="F445" t="s">
        <v>23</v>
      </c>
      <c r="G445" t="s">
        <v>14</v>
      </c>
      <c r="H445" s="2">
        <v>4557.5200000000004</v>
      </c>
      <c r="I445">
        <v>10</v>
      </c>
      <c r="J445" t="s">
        <v>15</v>
      </c>
      <c r="K445" s="2">
        <v>1830.61</v>
      </c>
      <c r="L445" s="2">
        <v>2044.04</v>
      </c>
      <c r="M445" t="s">
        <v>29</v>
      </c>
      <c r="N445">
        <v>0.11</v>
      </c>
      <c r="O445" s="2">
        <f>(Sales[[#This Row],[Unit_Price]]-Sales[[#This Row],[Discount]]*Sales[[#This Row],[Unit_Price]])</f>
        <v>1819.1956</v>
      </c>
      <c r="P445" t="s">
        <v>17</v>
      </c>
      <c r="Q445" t="s">
        <v>18</v>
      </c>
      <c r="R445" t="s">
        <v>44</v>
      </c>
    </row>
    <row r="446" spans="1:18" x14ac:dyDescent="0.35">
      <c r="A446">
        <v>1058</v>
      </c>
      <c r="B446" s="1">
        <v>45119</v>
      </c>
      <c r="C446" s="1" t="str">
        <f>TEXT(Sales[[#This Row],[Sale_Date]],"YYYY")</f>
        <v>2023</v>
      </c>
      <c r="D446" s="1" t="str">
        <f>TEXT(Sales[[#This Row],[Sale_Date]],"MMMM")</f>
        <v>July</v>
      </c>
      <c r="E446" s="1" t="str">
        <f>TEXT(Sales[[#This Row],[Sale_Date]],"DDDD")</f>
        <v>Wednesday</v>
      </c>
      <c r="F446" t="s">
        <v>37</v>
      </c>
      <c r="G446" t="s">
        <v>33</v>
      </c>
      <c r="H446" s="2">
        <v>9580.0499999999993</v>
      </c>
      <c r="I446">
        <v>14</v>
      </c>
      <c r="J446" t="s">
        <v>34</v>
      </c>
      <c r="K446" s="2">
        <v>2703.97</v>
      </c>
      <c r="L446" s="2">
        <v>2796.8799999999901</v>
      </c>
      <c r="M446" t="s">
        <v>29</v>
      </c>
      <c r="N446">
        <v>0.13</v>
      </c>
      <c r="O446" s="2">
        <f>(Sales[[#This Row],[Unit_Price]]-Sales[[#This Row],[Discount]]*Sales[[#This Row],[Unit_Price]])</f>
        <v>2433.2855999999915</v>
      </c>
      <c r="P446" t="s">
        <v>26</v>
      </c>
      <c r="Q446" t="s">
        <v>18</v>
      </c>
      <c r="R446" t="s">
        <v>47</v>
      </c>
    </row>
    <row r="447" spans="1:18" x14ac:dyDescent="0.35">
      <c r="A447">
        <v>1058</v>
      </c>
      <c r="B447" s="1">
        <v>45233</v>
      </c>
      <c r="C447" s="1" t="str">
        <f>TEXT(Sales[[#This Row],[Sale_Date]],"YYYY")</f>
        <v>2023</v>
      </c>
      <c r="D447" s="1" t="str">
        <f>TEXT(Sales[[#This Row],[Sale_Date]],"MMMM")</f>
        <v>November</v>
      </c>
      <c r="E447" s="1" t="str">
        <f>TEXT(Sales[[#This Row],[Sale_Date]],"DDDD")</f>
        <v>Friday</v>
      </c>
      <c r="F447" t="s">
        <v>23</v>
      </c>
      <c r="G447" t="s">
        <v>20</v>
      </c>
      <c r="H447" s="2">
        <v>4050.45</v>
      </c>
      <c r="I447">
        <v>42</v>
      </c>
      <c r="J447" t="s">
        <v>28</v>
      </c>
      <c r="K447" s="2">
        <v>3600.95</v>
      </c>
      <c r="L447" s="2">
        <v>3702.8399999999901</v>
      </c>
      <c r="M447" t="s">
        <v>16</v>
      </c>
      <c r="N447">
        <v>0.01</v>
      </c>
      <c r="O447" s="2">
        <f>(Sales[[#This Row],[Unit_Price]]-Sales[[#This Row],[Discount]]*Sales[[#This Row],[Unit_Price]])</f>
        <v>3665.8115999999904</v>
      </c>
      <c r="P447" t="s">
        <v>17</v>
      </c>
      <c r="Q447" t="s">
        <v>21</v>
      </c>
      <c r="R447" t="s">
        <v>46</v>
      </c>
    </row>
    <row r="448" spans="1:18" x14ac:dyDescent="0.35">
      <c r="A448">
        <v>1086</v>
      </c>
      <c r="B448" s="1">
        <v>45107</v>
      </c>
      <c r="C448" s="1" t="str">
        <f>TEXT(Sales[[#This Row],[Sale_Date]],"YYYY")</f>
        <v>2023</v>
      </c>
      <c r="D448" s="1" t="str">
        <f>TEXT(Sales[[#This Row],[Sale_Date]],"MMMM")</f>
        <v>June</v>
      </c>
      <c r="E448" s="1" t="str">
        <f>TEXT(Sales[[#This Row],[Sale_Date]],"DDDD")</f>
        <v>Friday</v>
      </c>
      <c r="F448" t="s">
        <v>13</v>
      </c>
      <c r="G448" t="s">
        <v>14</v>
      </c>
      <c r="H448" s="2">
        <v>8414.0400000000009</v>
      </c>
      <c r="I448">
        <v>46</v>
      </c>
      <c r="J448" t="s">
        <v>28</v>
      </c>
      <c r="K448" s="2">
        <v>2245.64</v>
      </c>
      <c r="L448" s="2">
        <v>2260.81</v>
      </c>
      <c r="M448" t="s">
        <v>29</v>
      </c>
      <c r="N448">
        <v>0</v>
      </c>
      <c r="O448" s="2">
        <f>(Sales[[#This Row],[Unit_Price]]-Sales[[#This Row],[Discount]]*Sales[[#This Row],[Unit_Price]])</f>
        <v>2260.81</v>
      </c>
      <c r="P448" t="s">
        <v>17</v>
      </c>
      <c r="Q448" t="s">
        <v>21</v>
      </c>
      <c r="R448" t="s">
        <v>19</v>
      </c>
    </row>
    <row r="449" spans="1:18" x14ac:dyDescent="0.35">
      <c r="A449">
        <v>1049</v>
      </c>
      <c r="B449" s="1">
        <v>45218</v>
      </c>
      <c r="C449" s="1" t="str">
        <f>TEXT(Sales[[#This Row],[Sale_Date]],"YYYY")</f>
        <v>2023</v>
      </c>
      <c r="D449" s="1" t="str">
        <f>TEXT(Sales[[#This Row],[Sale_Date]],"MMMM")</f>
        <v>October</v>
      </c>
      <c r="E449" s="1" t="str">
        <f>TEXT(Sales[[#This Row],[Sale_Date]],"DDDD")</f>
        <v>Thursday</v>
      </c>
      <c r="F449" t="s">
        <v>37</v>
      </c>
      <c r="G449" t="s">
        <v>24</v>
      </c>
      <c r="H449" s="2">
        <v>1966.55</v>
      </c>
      <c r="I449">
        <v>30</v>
      </c>
      <c r="J449" t="s">
        <v>28</v>
      </c>
      <c r="K449" s="2">
        <v>4697.4399999999996</v>
      </c>
      <c r="L449" s="2">
        <v>4752.24</v>
      </c>
      <c r="M449" t="s">
        <v>29</v>
      </c>
      <c r="N449">
        <v>0.28000000000000003</v>
      </c>
      <c r="O449" s="2">
        <f>(Sales[[#This Row],[Unit_Price]]-Sales[[#This Row],[Discount]]*Sales[[#This Row],[Unit_Price]])</f>
        <v>3421.6127999999999</v>
      </c>
      <c r="P449" t="s">
        <v>30</v>
      </c>
      <c r="Q449" t="s">
        <v>18</v>
      </c>
      <c r="R449" t="s">
        <v>38</v>
      </c>
    </row>
    <row r="450" spans="1:18" x14ac:dyDescent="0.35">
      <c r="A450">
        <v>1052</v>
      </c>
      <c r="B450" s="1">
        <v>45208</v>
      </c>
      <c r="C450" s="1" t="str">
        <f>TEXT(Sales[[#This Row],[Sale_Date]],"YYYY")</f>
        <v>2023</v>
      </c>
      <c r="D450" s="1" t="str">
        <f>TEXT(Sales[[#This Row],[Sale_Date]],"MMMM")</f>
        <v>October</v>
      </c>
      <c r="E450" s="1" t="str">
        <f>TEXT(Sales[[#This Row],[Sale_Date]],"DDDD")</f>
        <v>Monday</v>
      </c>
      <c r="F450" t="s">
        <v>23</v>
      </c>
      <c r="G450" t="s">
        <v>20</v>
      </c>
      <c r="H450" s="2">
        <v>6757.36</v>
      </c>
      <c r="I450">
        <v>41</v>
      </c>
      <c r="J450" t="s">
        <v>34</v>
      </c>
      <c r="K450" s="2">
        <v>1509.98</v>
      </c>
      <c r="L450" s="2">
        <v>1792.83</v>
      </c>
      <c r="M450" t="s">
        <v>29</v>
      </c>
      <c r="N450">
        <v>0.04</v>
      </c>
      <c r="O450" s="2">
        <f>(Sales[[#This Row],[Unit_Price]]-Sales[[#This Row],[Discount]]*Sales[[#This Row],[Unit_Price]])</f>
        <v>1721.1168</v>
      </c>
      <c r="P450" t="s">
        <v>17</v>
      </c>
      <c r="Q450" t="s">
        <v>21</v>
      </c>
      <c r="R450" t="s">
        <v>46</v>
      </c>
    </row>
    <row r="451" spans="1:18" x14ac:dyDescent="0.35">
      <c r="A451">
        <v>1042</v>
      </c>
      <c r="B451" s="1">
        <v>44955</v>
      </c>
      <c r="C451" s="1" t="str">
        <f>TEXT(Sales[[#This Row],[Sale_Date]],"YYYY")</f>
        <v>2023</v>
      </c>
      <c r="D451" s="1" t="str">
        <f>TEXT(Sales[[#This Row],[Sale_Date]],"MMMM")</f>
        <v>January</v>
      </c>
      <c r="E451" s="1" t="str">
        <f>TEXT(Sales[[#This Row],[Sale_Date]],"DDDD")</f>
        <v>Sunday</v>
      </c>
      <c r="F451" t="s">
        <v>37</v>
      </c>
      <c r="G451" t="s">
        <v>14</v>
      </c>
      <c r="H451" s="2">
        <v>9772.3700000000008</v>
      </c>
      <c r="I451">
        <v>25</v>
      </c>
      <c r="J451" t="s">
        <v>25</v>
      </c>
      <c r="K451" s="2">
        <v>2403.54</v>
      </c>
      <c r="L451" s="2">
        <v>2850.56</v>
      </c>
      <c r="M451" t="s">
        <v>29</v>
      </c>
      <c r="N451">
        <v>0.13</v>
      </c>
      <c r="O451" s="2">
        <f>(Sales[[#This Row],[Unit_Price]]-Sales[[#This Row],[Discount]]*Sales[[#This Row],[Unit_Price]])</f>
        <v>2479.9872</v>
      </c>
      <c r="P451" t="s">
        <v>26</v>
      </c>
      <c r="Q451" t="s">
        <v>18</v>
      </c>
      <c r="R451" t="s">
        <v>39</v>
      </c>
    </row>
    <row r="452" spans="1:18" x14ac:dyDescent="0.35">
      <c r="A452">
        <v>1070</v>
      </c>
      <c r="B452" s="1">
        <v>45075</v>
      </c>
      <c r="C452" s="1" t="str">
        <f>TEXT(Sales[[#This Row],[Sale_Date]],"YYYY")</f>
        <v>2023</v>
      </c>
      <c r="D452" s="1" t="str">
        <f>TEXT(Sales[[#This Row],[Sale_Date]],"MMMM")</f>
        <v>May</v>
      </c>
      <c r="E452" s="1" t="str">
        <f>TEXT(Sales[[#This Row],[Sale_Date]],"DDDD")</f>
        <v>Monday</v>
      </c>
      <c r="F452" t="s">
        <v>32</v>
      </c>
      <c r="G452" t="s">
        <v>24</v>
      </c>
      <c r="H452" s="2">
        <v>1108.74</v>
      </c>
      <c r="I452">
        <v>14</v>
      </c>
      <c r="J452" t="s">
        <v>15</v>
      </c>
      <c r="K452" s="2">
        <v>3796.79</v>
      </c>
      <c r="L452" s="2">
        <v>3947.5</v>
      </c>
      <c r="M452" t="s">
        <v>16</v>
      </c>
      <c r="N452">
        <v>0.24</v>
      </c>
      <c r="O452" s="2">
        <f>(Sales[[#This Row],[Unit_Price]]-Sales[[#This Row],[Discount]]*Sales[[#This Row],[Unit_Price]])</f>
        <v>3000.1</v>
      </c>
      <c r="P452" t="s">
        <v>26</v>
      </c>
      <c r="Q452" t="s">
        <v>18</v>
      </c>
      <c r="R452" t="s">
        <v>43</v>
      </c>
    </row>
    <row r="453" spans="1:18" x14ac:dyDescent="0.35">
      <c r="A453">
        <v>1015</v>
      </c>
      <c r="B453" s="1">
        <v>45193</v>
      </c>
      <c r="C453" s="1" t="str">
        <f>TEXT(Sales[[#This Row],[Sale_Date]],"YYYY")</f>
        <v>2023</v>
      </c>
      <c r="D453" s="1" t="str">
        <f>TEXT(Sales[[#This Row],[Sale_Date]],"MMMM")</f>
        <v>September</v>
      </c>
      <c r="E453" s="1" t="str">
        <f>TEXT(Sales[[#This Row],[Sale_Date]],"DDDD")</f>
        <v>Sunday</v>
      </c>
      <c r="F453" t="s">
        <v>13</v>
      </c>
      <c r="G453" t="s">
        <v>33</v>
      </c>
      <c r="H453" s="2">
        <v>182.37</v>
      </c>
      <c r="I453">
        <v>35</v>
      </c>
      <c r="J453" t="s">
        <v>28</v>
      </c>
      <c r="K453" s="2">
        <v>3461.15</v>
      </c>
      <c r="L453" s="2">
        <v>3631.75</v>
      </c>
      <c r="M453" t="s">
        <v>16</v>
      </c>
      <c r="N453">
        <v>0.27</v>
      </c>
      <c r="O453" s="2">
        <f>(Sales[[#This Row],[Unit_Price]]-Sales[[#This Row],[Discount]]*Sales[[#This Row],[Unit_Price]])</f>
        <v>2651.1774999999998</v>
      </c>
      <c r="P453" t="s">
        <v>30</v>
      </c>
      <c r="Q453" t="s">
        <v>18</v>
      </c>
      <c r="R453" t="s">
        <v>45</v>
      </c>
    </row>
    <row r="454" spans="1:18" x14ac:dyDescent="0.35">
      <c r="A454">
        <v>1054</v>
      </c>
      <c r="B454" s="1">
        <v>45222</v>
      </c>
      <c r="C454" s="1" t="str">
        <f>TEXT(Sales[[#This Row],[Sale_Date]],"YYYY")</f>
        <v>2023</v>
      </c>
      <c r="D454" s="1" t="str">
        <f>TEXT(Sales[[#This Row],[Sale_Date]],"MMMM")</f>
        <v>October</v>
      </c>
      <c r="E454" s="1" t="str">
        <f>TEXT(Sales[[#This Row],[Sale_Date]],"DDDD")</f>
        <v>Monday</v>
      </c>
      <c r="F454" t="s">
        <v>23</v>
      </c>
      <c r="G454" t="s">
        <v>24</v>
      </c>
      <c r="H454" s="2">
        <v>4392.47</v>
      </c>
      <c r="I454">
        <v>48</v>
      </c>
      <c r="J454" t="s">
        <v>34</v>
      </c>
      <c r="K454" s="2">
        <v>4325.0200000000004</v>
      </c>
      <c r="L454" s="2">
        <v>4391.67</v>
      </c>
      <c r="M454" t="s">
        <v>16</v>
      </c>
      <c r="N454">
        <v>0.16</v>
      </c>
      <c r="O454" s="2">
        <f>(Sales[[#This Row],[Unit_Price]]-Sales[[#This Row],[Discount]]*Sales[[#This Row],[Unit_Price]])</f>
        <v>3689.0028000000002</v>
      </c>
      <c r="P454" t="s">
        <v>30</v>
      </c>
      <c r="Q454" t="s">
        <v>21</v>
      </c>
      <c r="R454" t="s">
        <v>27</v>
      </c>
    </row>
    <row r="455" spans="1:18" x14ac:dyDescent="0.35">
      <c r="A455">
        <v>1060</v>
      </c>
      <c r="B455" s="1">
        <v>44937</v>
      </c>
      <c r="C455" s="1" t="str">
        <f>TEXT(Sales[[#This Row],[Sale_Date]],"YYYY")</f>
        <v>2023</v>
      </c>
      <c r="D455" s="1" t="str">
        <f>TEXT(Sales[[#This Row],[Sale_Date]],"MMMM")</f>
        <v>January</v>
      </c>
      <c r="E455" s="1" t="str">
        <f>TEXT(Sales[[#This Row],[Sale_Date]],"DDDD")</f>
        <v>Wednesday</v>
      </c>
      <c r="F455" t="s">
        <v>32</v>
      </c>
      <c r="G455" t="s">
        <v>20</v>
      </c>
      <c r="H455" s="2">
        <v>1016.99</v>
      </c>
      <c r="I455">
        <v>34</v>
      </c>
      <c r="J455" t="s">
        <v>34</v>
      </c>
      <c r="K455" s="2">
        <v>4984.21</v>
      </c>
      <c r="L455" s="2">
        <v>5184.6400000000003</v>
      </c>
      <c r="M455" t="s">
        <v>29</v>
      </c>
      <c r="N455">
        <v>0.17</v>
      </c>
      <c r="O455" s="2">
        <f>(Sales[[#This Row],[Unit_Price]]-Sales[[#This Row],[Discount]]*Sales[[#This Row],[Unit_Price]])</f>
        <v>4303.2512000000006</v>
      </c>
      <c r="P455" t="s">
        <v>17</v>
      </c>
      <c r="Q455" t="s">
        <v>18</v>
      </c>
      <c r="R455" t="s">
        <v>36</v>
      </c>
    </row>
    <row r="456" spans="1:18" x14ac:dyDescent="0.35">
      <c r="A456">
        <v>1097</v>
      </c>
      <c r="B456" s="1">
        <v>45090</v>
      </c>
      <c r="C456" s="1" t="str">
        <f>TEXT(Sales[[#This Row],[Sale_Date]],"YYYY")</f>
        <v>2023</v>
      </c>
      <c r="D456" s="1" t="str">
        <f>TEXT(Sales[[#This Row],[Sale_Date]],"MMMM")</f>
        <v>June</v>
      </c>
      <c r="E456" s="1" t="str">
        <f>TEXT(Sales[[#This Row],[Sale_Date]],"DDDD")</f>
        <v>Tuesday</v>
      </c>
      <c r="F456" t="s">
        <v>32</v>
      </c>
      <c r="G456" t="s">
        <v>33</v>
      </c>
      <c r="H456" s="2">
        <v>7509.01</v>
      </c>
      <c r="I456">
        <v>10</v>
      </c>
      <c r="J456" t="s">
        <v>15</v>
      </c>
      <c r="K456" s="2">
        <v>2162.9499999999998</v>
      </c>
      <c r="L456" s="2">
        <v>2191.1899999999901</v>
      </c>
      <c r="M456" t="s">
        <v>16</v>
      </c>
      <c r="N456">
        <v>0.2</v>
      </c>
      <c r="O456" s="2">
        <f>(Sales[[#This Row],[Unit_Price]]-Sales[[#This Row],[Discount]]*Sales[[#This Row],[Unit_Price]])</f>
        <v>1752.951999999992</v>
      </c>
      <c r="P456" t="s">
        <v>30</v>
      </c>
      <c r="Q456" t="s">
        <v>18</v>
      </c>
      <c r="R456" t="s">
        <v>35</v>
      </c>
    </row>
    <row r="457" spans="1:18" x14ac:dyDescent="0.35">
      <c r="A457">
        <v>1008</v>
      </c>
      <c r="B457" s="1">
        <v>45039</v>
      </c>
      <c r="C457" s="1" t="str">
        <f>TEXT(Sales[[#This Row],[Sale_Date]],"YYYY")</f>
        <v>2023</v>
      </c>
      <c r="D457" s="1" t="str">
        <f>TEXT(Sales[[#This Row],[Sale_Date]],"MMMM")</f>
        <v>April</v>
      </c>
      <c r="E457" s="1" t="str">
        <f>TEXT(Sales[[#This Row],[Sale_Date]],"DDDD")</f>
        <v>Sunday</v>
      </c>
      <c r="F457" t="s">
        <v>37</v>
      </c>
      <c r="G457" t="s">
        <v>14</v>
      </c>
      <c r="H457" s="2">
        <v>9154.0300000000007</v>
      </c>
      <c r="I457">
        <v>35</v>
      </c>
      <c r="J457" t="s">
        <v>28</v>
      </c>
      <c r="K457" s="2">
        <v>600.20000000000005</v>
      </c>
      <c r="L457" s="2">
        <v>1059.82</v>
      </c>
      <c r="M457" t="s">
        <v>16</v>
      </c>
      <c r="N457">
        <v>0.28999999999999998</v>
      </c>
      <c r="O457" s="2">
        <f>(Sales[[#This Row],[Unit_Price]]-Sales[[#This Row],[Discount]]*Sales[[#This Row],[Unit_Price]])</f>
        <v>752.47219999999993</v>
      </c>
      <c r="P457" t="s">
        <v>26</v>
      </c>
      <c r="Q457" t="s">
        <v>21</v>
      </c>
      <c r="R457" t="s">
        <v>39</v>
      </c>
    </row>
    <row r="458" spans="1:18" x14ac:dyDescent="0.35">
      <c r="A458">
        <v>1053</v>
      </c>
      <c r="B458" s="1">
        <v>45113</v>
      </c>
      <c r="C458" s="1" t="str">
        <f>TEXT(Sales[[#This Row],[Sale_Date]],"YYYY")</f>
        <v>2023</v>
      </c>
      <c r="D458" s="1" t="str">
        <f>TEXT(Sales[[#This Row],[Sale_Date]],"MMMM")</f>
        <v>July</v>
      </c>
      <c r="E458" s="1" t="str">
        <f>TEXT(Sales[[#This Row],[Sale_Date]],"DDDD")</f>
        <v>Thursday</v>
      </c>
      <c r="F458" t="s">
        <v>32</v>
      </c>
      <c r="G458" t="s">
        <v>33</v>
      </c>
      <c r="H458" s="2">
        <v>4396.8100000000004</v>
      </c>
      <c r="I458">
        <v>11</v>
      </c>
      <c r="J458" t="s">
        <v>34</v>
      </c>
      <c r="K458" s="2">
        <v>200.56</v>
      </c>
      <c r="L458" s="2">
        <v>540.38</v>
      </c>
      <c r="M458" t="s">
        <v>29</v>
      </c>
      <c r="N458">
        <v>0.18</v>
      </c>
      <c r="O458" s="2">
        <f>(Sales[[#This Row],[Unit_Price]]-Sales[[#This Row],[Discount]]*Sales[[#This Row],[Unit_Price]])</f>
        <v>443.11160000000001</v>
      </c>
      <c r="P458" t="s">
        <v>26</v>
      </c>
      <c r="Q458" t="s">
        <v>18</v>
      </c>
      <c r="R458" t="s">
        <v>35</v>
      </c>
    </row>
    <row r="459" spans="1:18" x14ac:dyDescent="0.35">
      <c r="A459">
        <v>1060</v>
      </c>
      <c r="B459" s="1">
        <v>45221</v>
      </c>
      <c r="C459" s="1" t="str">
        <f>TEXT(Sales[[#This Row],[Sale_Date]],"YYYY")</f>
        <v>2023</v>
      </c>
      <c r="D459" s="1" t="str">
        <f>TEXT(Sales[[#This Row],[Sale_Date]],"MMMM")</f>
        <v>October</v>
      </c>
      <c r="E459" s="1" t="str">
        <f>TEXT(Sales[[#This Row],[Sale_Date]],"DDDD")</f>
        <v>Sunday</v>
      </c>
      <c r="F459" t="s">
        <v>13</v>
      </c>
      <c r="G459" t="s">
        <v>14</v>
      </c>
      <c r="H459" s="2">
        <v>2661.25</v>
      </c>
      <c r="I459">
        <v>11</v>
      </c>
      <c r="J459" t="s">
        <v>15</v>
      </c>
      <c r="K459" s="2">
        <v>3648.04</v>
      </c>
      <c r="L459" s="2">
        <v>4143.51</v>
      </c>
      <c r="M459" t="s">
        <v>16</v>
      </c>
      <c r="N459">
        <v>0.17</v>
      </c>
      <c r="O459" s="2">
        <f>(Sales[[#This Row],[Unit_Price]]-Sales[[#This Row],[Discount]]*Sales[[#This Row],[Unit_Price]])</f>
        <v>3439.1133</v>
      </c>
      <c r="P459" t="s">
        <v>30</v>
      </c>
      <c r="Q459" t="s">
        <v>21</v>
      </c>
      <c r="R459" t="s">
        <v>19</v>
      </c>
    </row>
    <row r="460" spans="1:18" x14ac:dyDescent="0.35">
      <c r="A460">
        <v>1005</v>
      </c>
      <c r="B460" s="1">
        <v>45158</v>
      </c>
      <c r="C460" s="1" t="str">
        <f>TEXT(Sales[[#This Row],[Sale_Date]],"YYYY")</f>
        <v>2023</v>
      </c>
      <c r="D460" s="1" t="str">
        <f>TEXT(Sales[[#This Row],[Sale_Date]],"MMMM")</f>
        <v>August</v>
      </c>
      <c r="E460" s="1" t="str">
        <f>TEXT(Sales[[#This Row],[Sale_Date]],"DDDD")</f>
        <v>Sunday</v>
      </c>
      <c r="F460" t="s">
        <v>13</v>
      </c>
      <c r="G460" t="s">
        <v>14</v>
      </c>
      <c r="H460" s="2">
        <v>4400.59</v>
      </c>
      <c r="I460">
        <v>21</v>
      </c>
      <c r="J460" t="s">
        <v>25</v>
      </c>
      <c r="K460" s="2">
        <v>4376.37</v>
      </c>
      <c r="L460" s="2">
        <v>4818.95</v>
      </c>
      <c r="M460" t="s">
        <v>29</v>
      </c>
      <c r="N460">
        <v>0</v>
      </c>
      <c r="O460" s="2">
        <f>(Sales[[#This Row],[Unit_Price]]-Sales[[#This Row],[Discount]]*Sales[[#This Row],[Unit_Price]])</f>
        <v>4818.95</v>
      </c>
      <c r="P460" t="s">
        <v>30</v>
      </c>
      <c r="Q460" t="s">
        <v>21</v>
      </c>
      <c r="R460" t="s">
        <v>19</v>
      </c>
    </row>
    <row r="461" spans="1:18" x14ac:dyDescent="0.35">
      <c r="A461">
        <v>1068</v>
      </c>
      <c r="B461" s="1">
        <v>45153</v>
      </c>
      <c r="C461" s="1" t="str">
        <f>TEXT(Sales[[#This Row],[Sale_Date]],"YYYY")</f>
        <v>2023</v>
      </c>
      <c r="D461" s="1" t="str">
        <f>TEXT(Sales[[#This Row],[Sale_Date]],"MMMM")</f>
        <v>August</v>
      </c>
      <c r="E461" s="1" t="str">
        <f>TEXT(Sales[[#This Row],[Sale_Date]],"DDDD")</f>
        <v>Tuesday</v>
      </c>
      <c r="F461" t="s">
        <v>41</v>
      </c>
      <c r="G461" t="s">
        <v>24</v>
      </c>
      <c r="H461" s="2">
        <v>7262.13</v>
      </c>
      <c r="I461">
        <v>21</v>
      </c>
      <c r="J461" t="s">
        <v>25</v>
      </c>
      <c r="K461" s="2">
        <v>1142.53</v>
      </c>
      <c r="L461" s="2">
        <v>1384.3</v>
      </c>
      <c r="M461" t="s">
        <v>16</v>
      </c>
      <c r="N461">
        <v>0.02</v>
      </c>
      <c r="O461" s="2">
        <f>(Sales[[#This Row],[Unit_Price]]-Sales[[#This Row],[Discount]]*Sales[[#This Row],[Unit_Price]])</f>
        <v>1356.614</v>
      </c>
      <c r="P461" t="s">
        <v>30</v>
      </c>
      <c r="Q461" t="s">
        <v>21</v>
      </c>
      <c r="R461" t="s">
        <v>42</v>
      </c>
    </row>
    <row r="462" spans="1:18" x14ac:dyDescent="0.35">
      <c r="A462">
        <v>1006</v>
      </c>
      <c r="B462" s="1">
        <v>45236</v>
      </c>
      <c r="C462" s="1" t="str">
        <f>TEXT(Sales[[#This Row],[Sale_Date]],"YYYY")</f>
        <v>2023</v>
      </c>
      <c r="D462" s="1" t="str">
        <f>TEXT(Sales[[#This Row],[Sale_Date]],"MMMM")</f>
        <v>November</v>
      </c>
      <c r="E462" s="1" t="str">
        <f>TEXT(Sales[[#This Row],[Sale_Date]],"DDDD")</f>
        <v>Monday</v>
      </c>
      <c r="F462" t="s">
        <v>13</v>
      </c>
      <c r="G462" t="s">
        <v>24</v>
      </c>
      <c r="H462" s="2">
        <v>189.64</v>
      </c>
      <c r="I462">
        <v>22</v>
      </c>
      <c r="J462" t="s">
        <v>25</v>
      </c>
      <c r="K462" s="2">
        <v>834.32</v>
      </c>
      <c r="L462" s="2">
        <v>1098.97</v>
      </c>
      <c r="M462" t="s">
        <v>16</v>
      </c>
      <c r="N462">
        <v>0.17</v>
      </c>
      <c r="O462" s="2">
        <f>(Sales[[#This Row],[Unit_Price]]-Sales[[#This Row],[Discount]]*Sales[[#This Row],[Unit_Price]])</f>
        <v>912.14509999999996</v>
      </c>
      <c r="P462" t="s">
        <v>17</v>
      </c>
      <c r="Q462" t="s">
        <v>18</v>
      </c>
      <c r="R462" t="s">
        <v>31</v>
      </c>
    </row>
    <row r="463" spans="1:18" x14ac:dyDescent="0.35">
      <c r="A463">
        <v>1096</v>
      </c>
      <c r="B463" s="1">
        <v>45024</v>
      </c>
      <c r="C463" s="1" t="str">
        <f>TEXT(Sales[[#This Row],[Sale_Date]],"YYYY")</f>
        <v>2023</v>
      </c>
      <c r="D463" s="1" t="str">
        <f>TEXT(Sales[[#This Row],[Sale_Date]],"MMMM")</f>
        <v>April</v>
      </c>
      <c r="E463" s="1" t="str">
        <f>TEXT(Sales[[#This Row],[Sale_Date]],"DDDD")</f>
        <v>Saturday</v>
      </c>
      <c r="F463" t="s">
        <v>32</v>
      </c>
      <c r="G463" t="s">
        <v>24</v>
      </c>
      <c r="H463" s="2">
        <v>5935.59</v>
      </c>
      <c r="I463">
        <v>45</v>
      </c>
      <c r="J463" t="s">
        <v>28</v>
      </c>
      <c r="K463" s="2">
        <v>357.92</v>
      </c>
      <c r="L463" s="2">
        <v>461.3</v>
      </c>
      <c r="M463" t="s">
        <v>16</v>
      </c>
      <c r="N463">
        <v>0.28000000000000003</v>
      </c>
      <c r="O463" s="2">
        <f>(Sales[[#This Row],[Unit_Price]]-Sales[[#This Row],[Discount]]*Sales[[#This Row],[Unit_Price]])</f>
        <v>332.13599999999997</v>
      </c>
      <c r="P463" t="s">
        <v>17</v>
      </c>
      <c r="Q463" t="s">
        <v>18</v>
      </c>
      <c r="R463" t="s">
        <v>43</v>
      </c>
    </row>
    <row r="464" spans="1:18" x14ac:dyDescent="0.35">
      <c r="A464">
        <v>1094</v>
      </c>
      <c r="B464" s="1">
        <v>44981</v>
      </c>
      <c r="C464" s="1" t="str">
        <f>TEXT(Sales[[#This Row],[Sale_Date]],"YYYY")</f>
        <v>2023</v>
      </c>
      <c r="D464" s="1" t="str">
        <f>TEXT(Sales[[#This Row],[Sale_Date]],"MMMM")</f>
        <v>February</v>
      </c>
      <c r="E464" s="1" t="str">
        <f>TEXT(Sales[[#This Row],[Sale_Date]],"DDDD")</f>
        <v>Friday</v>
      </c>
      <c r="F464" t="s">
        <v>13</v>
      </c>
      <c r="G464" t="s">
        <v>20</v>
      </c>
      <c r="H464" s="2">
        <v>6171.59</v>
      </c>
      <c r="I464">
        <v>7</v>
      </c>
      <c r="J464" t="s">
        <v>15</v>
      </c>
      <c r="K464" s="2">
        <v>4122.38</v>
      </c>
      <c r="L464" s="2">
        <v>4358.78</v>
      </c>
      <c r="M464" t="s">
        <v>16</v>
      </c>
      <c r="N464">
        <v>0.26</v>
      </c>
      <c r="O464" s="2">
        <f>(Sales[[#This Row],[Unit_Price]]-Sales[[#This Row],[Discount]]*Sales[[#This Row],[Unit_Price]])</f>
        <v>3225.4971999999998</v>
      </c>
      <c r="P464" t="s">
        <v>26</v>
      </c>
      <c r="Q464" t="s">
        <v>21</v>
      </c>
      <c r="R464" t="s">
        <v>22</v>
      </c>
    </row>
    <row r="465" spans="1:18" x14ac:dyDescent="0.35">
      <c r="A465">
        <v>1047</v>
      </c>
      <c r="B465" s="1">
        <v>45037</v>
      </c>
      <c r="C465" s="1" t="str">
        <f>TEXT(Sales[[#This Row],[Sale_Date]],"YYYY")</f>
        <v>2023</v>
      </c>
      <c r="D465" s="1" t="str">
        <f>TEXT(Sales[[#This Row],[Sale_Date]],"MMMM")</f>
        <v>April</v>
      </c>
      <c r="E465" s="1" t="str">
        <f>TEXT(Sales[[#This Row],[Sale_Date]],"DDDD")</f>
        <v>Friday</v>
      </c>
      <c r="F465" t="s">
        <v>37</v>
      </c>
      <c r="G465" t="s">
        <v>20</v>
      </c>
      <c r="H465" s="2">
        <v>6413.11</v>
      </c>
      <c r="I465">
        <v>17</v>
      </c>
      <c r="J465" t="s">
        <v>15</v>
      </c>
      <c r="K465" s="2">
        <v>1591.34</v>
      </c>
      <c r="L465" s="2">
        <v>2043.82</v>
      </c>
      <c r="M465" t="s">
        <v>29</v>
      </c>
      <c r="N465">
        <v>0.28999999999999998</v>
      </c>
      <c r="O465" s="2">
        <f>(Sales[[#This Row],[Unit_Price]]-Sales[[#This Row],[Discount]]*Sales[[#This Row],[Unit_Price]])</f>
        <v>1451.1122</v>
      </c>
      <c r="P465" t="s">
        <v>17</v>
      </c>
      <c r="Q465" t="s">
        <v>21</v>
      </c>
      <c r="R465" t="s">
        <v>40</v>
      </c>
    </row>
    <row r="466" spans="1:18" x14ac:dyDescent="0.35">
      <c r="A466">
        <v>1099</v>
      </c>
      <c r="B466" s="1">
        <v>45078</v>
      </c>
      <c r="C466" s="1" t="str">
        <f>TEXT(Sales[[#This Row],[Sale_Date]],"YYYY")</f>
        <v>2023</v>
      </c>
      <c r="D466" s="1" t="str">
        <f>TEXT(Sales[[#This Row],[Sale_Date]],"MMMM")</f>
        <v>June</v>
      </c>
      <c r="E466" s="1" t="str">
        <f>TEXT(Sales[[#This Row],[Sale_Date]],"DDDD")</f>
        <v>Thursday</v>
      </c>
      <c r="F466" t="s">
        <v>41</v>
      </c>
      <c r="G466" t="s">
        <v>24</v>
      </c>
      <c r="H466" s="2">
        <v>2496.02</v>
      </c>
      <c r="I466">
        <v>2</v>
      </c>
      <c r="J466" t="s">
        <v>34</v>
      </c>
      <c r="K466" s="2">
        <v>2038.4</v>
      </c>
      <c r="L466" s="2">
        <v>2073.3200000000002</v>
      </c>
      <c r="M466" t="s">
        <v>29</v>
      </c>
      <c r="N466">
        <v>0.16</v>
      </c>
      <c r="O466" s="2">
        <f>(Sales[[#This Row],[Unit_Price]]-Sales[[#This Row],[Discount]]*Sales[[#This Row],[Unit_Price]])</f>
        <v>1741.5888</v>
      </c>
      <c r="P466" t="s">
        <v>17</v>
      </c>
      <c r="Q466" t="s">
        <v>21</v>
      </c>
      <c r="R466" t="s">
        <v>42</v>
      </c>
    </row>
    <row r="467" spans="1:18" x14ac:dyDescent="0.35">
      <c r="A467">
        <v>1055</v>
      </c>
      <c r="B467" s="1">
        <v>45172</v>
      </c>
      <c r="C467" s="1" t="str">
        <f>TEXT(Sales[[#This Row],[Sale_Date]],"YYYY")</f>
        <v>2023</v>
      </c>
      <c r="D467" s="1" t="str">
        <f>TEXT(Sales[[#This Row],[Sale_Date]],"MMMM")</f>
        <v>September</v>
      </c>
      <c r="E467" s="1" t="str">
        <f>TEXT(Sales[[#This Row],[Sale_Date]],"DDDD")</f>
        <v>Sunday</v>
      </c>
      <c r="F467" t="s">
        <v>32</v>
      </c>
      <c r="G467" t="s">
        <v>20</v>
      </c>
      <c r="H467" s="2">
        <v>7169.12</v>
      </c>
      <c r="I467">
        <v>12</v>
      </c>
      <c r="J467" t="s">
        <v>34</v>
      </c>
      <c r="K467" s="2">
        <v>2538.61</v>
      </c>
      <c r="L467" s="2">
        <v>2971.75</v>
      </c>
      <c r="M467" t="s">
        <v>16</v>
      </c>
      <c r="N467">
        <v>0.24</v>
      </c>
      <c r="O467" s="2">
        <f>(Sales[[#This Row],[Unit_Price]]-Sales[[#This Row],[Discount]]*Sales[[#This Row],[Unit_Price]])</f>
        <v>2258.5299999999997</v>
      </c>
      <c r="P467" t="s">
        <v>17</v>
      </c>
      <c r="Q467" t="s">
        <v>18</v>
      </c>
      <c r="R467" t="s">
        <v>36</v>
      </c>
    </row>
    <row r="468" spans="1:18" x14ac:dyDescent="0.35">
      <c r="A468">
        <v>1040</v>
      </c>
      <c r="B468" s="1">
        <v>44995</v>
      </c>
      <c r="C468" s="1" t="str">
        <f>TEXT(Sales[[#This Row],[Sale_Date]],"YYYY")</f>
        <v>2023</v>
      </c>
      <c r="D468" s="1" t="str">
        <f>TEXT(Sales[[#This Row],[Sale_Date]],"MMMM")</f>
        <v>March</v>
      </c>
      <c r="E468" s="1" t="str">
        <f>TEXT(Sales[[#This Row],[Sale_Date]],"DDDD")</f>
        <v>Friday</v>
      </c>
      <c r="F468" t="s">
        <v>41</v>
      </c>
      <c r="G468" t="s">
        <v>33</v>
      </c>
      <c r="H468" s="2">
        <v>1004.78</v>
      </c>
      <c r="I468">
        <v>42</v>
      </c>
      <c r="J468" t="s">
        <v>34</v>
      </c>
      <c r="K468" s="2">
        <v>4205.29</v>
      </c>
      <c r="L468" s="2">
        <v>4382.3500000000004</v>
      </c>
      <c r="M468" t="s">
        <v>29</v>
      </c>
      <c r="N468">
        <v>0.25</v>
      </c>
      <c r="O468" s="2">
        <f>(Sales[[#This Row],[Unit_Price]]-Sales[[#This Row],[Discount]]*Sales[[#This Row],[Unit_Price]])</f>
        <v>3286.7625000000003</v>
      </c>
      <c r="P468" t="s">
        <v>17</v>
      </c>
      <c r="Q468" t="s">
        <v>21</v>
      </c>
      <c r="R468" t="s">
        <v>51</v>
      </c>
    </row>
    <row r="469" spans="1:18" x14ac:dyDescent="0.35">
      <c r="A469">
        <v>1052</v>
      </c>
      <c r="B469" s="1">
        <v>45238</v>
      </c>
      <c r="C469" s="1" t="str">
        <f>TEXT(Sales[[#This Row],[Sale_Date]],"YYYY")</f>
        <v>2023</v>
      </c>
      <c r="D469" s="1" t="str">
        <f>TEXT(Sales[[#This Row],[Sale_Date]],"MMMM")</f>
        <v>November</v>
      </c>
      <c r="E469" s="1" t="str">
        <f>TEXT(Sales[[#This Row],[Sale_Date]],"DDDD")</f>
        <v>Wednesday</v>
      </c>
      <c r="F469" t="s">
        <v>32</v>
      </c>
      <c r="G469" t="s">
        <v>33</v>
      </c>
      <c r="H469" s="2">
        <v>2072.7800000000002</v>
      </c>
      <c r="I469">
        <v>18</v>
      </c>
      <c r="J469" t="s">
        <v>15</v>
      </c>
      <c r="K469" s="2">
        <v>3271.62</v>
      </c>
      <c r="L469" s="2">
        <v>3722.38</v>
      </c>
      <c r="M469" t="s">
        <v>16</v>
      </c>
      <c r="N469">
        <v>0.19</v>
      </c>
      <c r="O469" s="2">
        <f>(Sales[[#This Row],[Unit_Price]]-Sales[[#This Row],[Discount]]*Sales[[#This Row],[Unit_Price]])</f>
        <v>3015.1278000000002</v>
      </c>
      <c r="P469" t="s">
        <v>26</v>
      </c>
      <c r="Q469" t="s">
        <v>21</v>
      </c>
      <c r="R469" t="s">
        <v>35</v>
      </c>
    </row>
    <row r="470" spans="1:18" x14ac:dyDescent="0.35">
      <c r="A470">
        <v>1016</v>
      </c>
      <c r="B470" s="1">
        <v>45215</v>
      </c>
      <c r="C470" s="1" t="str">
        <f>TEXT(Sales[[#This Row],[Sale_Date]],"YYYY")</f>
        <v>2023</v>
      </c>
      <c r="D470" s="1" t="str">
        <f>TEXT(Sales[[#This Row],[Sale_Date]],"MMMM")</f>
        <v>October</v>
      </c>
      <c r="E470" s="1" t="str">
        <f>TEXT(Sales[[#This Row],[Sale_Date]],"DDDD")</f>
        <v>Monday</v>
      </c>
      <c r="F470" t="s">
        <v>37</v>
      </c>
      <c r="G470" t="s">
        <v>20</v>
      </c>
      <c r="H470" s="2">
        <v>8786.9500000000007</v>
      </c>
      <c r="I470">
        <v>11</v>
      </c>
      <c r="J470" t="s">
        <v>34</v>
      </c>
      <c r="K470" s="2">
        <v>3094.57</v>
      </c>
      <c r="L470" s="2">
        <v>3565.6</v>
      </c>
      <c r="M470" t="s">
        <v>16</v>
      </c>
      <c r="N470">
        <v>0.1</v>
      </c>
      <c r="O470" s="2">
        <f>(Sales[[#This Row],[Unit_Price]]-Sales[[#This Row],[Discount]]*Sales[[#This Row],[Unit_Price]])</f>
        <v>3209.04</v>
      </c>
      <c r="P470" t="s">
        <v>30</v>
      </c>
      <c r="Q470" t="s">
        <v>21</v>
      </c>
      <c r="R470" t="s">
        <v>40</v>
      </c>
    </row>
    <row r="471" spans="1:18" x14ac:dyDescent="0.35">
      <c r="A471">
        <v>1013</v>
      </c>
      <c r="B471" s="1">
        <v>45176</v>
      </c>
      <c r="C471" s="1" t="str">
        <f>TEXT(Sales[[#This Row],[Sale_Date]],"YYYY")</f>
        <v>2023</v>
      </c>
      <c r="D471" s="1" t="str">
        <f>TEXT(Sales[[#This Row],[Sale_Date]],"MMMM")</f>
        <v>September</v>
      </c>
      <c r="E471" s="1" t="str">
        <f>TEXT(Sales[[#This Row],[Sale_Date]],"DDDD")</f>
        <v>Thursday</v>
      </c>
      <c r="F471" t="s">
        <v>41</v>
      </c>
      <c r="G471" t="s">
        <v>20</v>
      </c>
      <c r="H471" s="2">
        <v>7413.36</v>
      </c>
      <c r="I471">
        <v>16</v>
      </c>
      <c r="J471" t="s">
        <v>15</v>
      </c>
      <c r="K471" s="2">
        <v>919.58</v>
      </c>
      <c r="L471" s="2">
        <v>1258.3</v>
      </c>
      <c r="M471" t="s">
        <v>16</v>
      </c>
      <c r="N471">
        <v>0.14000000000000001</v>
      </c>
      <c r="O471" s="2">
        <f>(Sales[[#This Row],[Unit_Price]]-Sales[[#This Row],[Discount]]*Sales[[#This Row],[Unit_Price]])</f>
        <v>1082.1379999999999</v>
      </c>
      <c r="P471" t="s">
        <v>26</v>
      </c>
      <c r="Q471" t="s">
        <v>18</v>
      </c>
      <c r="R471" t="s">
        <v>50</v>
      </c>
    </row>
    <row r="472" spans="1:18" x14ac:dyDescent="0.35">
      <c r="A472">
        <v>1030</v>
      </c>
      <c r="B472" s="1">
        <v>44962</v>
      </c>
      <c r="C472" s="1" t="str">
        <f>TEXT(Sales[[#This Row],[Sale_Date]],"YYYY")</f>
        <v>2023</v>
      </c>
      <c r="D472" s="1" t="str">
        <f>TEXT(Sales[[#This Row],[Sale_Date]],"MMMM")</f>
        <v>February</v>
      </c>
      <c r="E472" s="1" t="str">
        <f>TEXT(Sales[[#This Row],[Sale_Date]],"DDDD")</f>
        <v>Sunday</v>
      </c>
      <c r="F472" t="s">
        <v>23</v>
      </c>
      <c r="G472" t="s">
        <v>33</v>
      </c>
      <c r="H472" s="2">
        <v>236.08</v>
      </c>
      <c r="I472">
        <v>49</v>
      </c>
      <c r="J472" t="s">
        <v>15</v>
      </c>
      <c r="K472" s="2">
        <v>2590.29</v>
      </c>
      <c r="L472" s="2">
        <v>2925.86</v>
      </c>
      <c r="M472" t="s">
        <v>16</v>
      </c>
      <c r="N472">
        <v>0.26</v>
      </c>
      <c r="O472" s="2">
        <f>(Sales[[#This Row],[Unit_Price]]-Sales[[#This Row],[Discount]]*Sales[[#This Row],[Unit_Price]])</f>
        <v>2165.1364000000003</v>
      </c>
      <c r="P472" t="s">
        <v>17</v>
      </c>
      <c r="Q472" t="s">
        <v>21</v>
      </c>
      <c r="R472" t="s">
        <v>49</v>
      </c>
    </row>
    <row r="473" spans="1:18" x14ac:dyDescent="0.35">
      <c r="A473">
        <v>1019</v>
      </c>
      <c r="B473" s="1">
        <v>45165</v>
      </c>
      <c r="C473" s="1" t="str">
        <f>TEXT(Sales[[#This Row],[Sale_Date]],"YYYY")</f>
        <v>2023</v>
      </c>
      <c r="D473" s="1" t="str">
        <f>TEXT(Sales[[#This Row],[Sale_Date]],"MMMM")</f>
        <v>August</v>
      </c>
      <c r="E473" s="1" t="str">
        <f>TEXT(Sales[[#This Row],[Sale_Date]],"DDDD")</f>
        <v>Sunday</v>
      </c>
      <c r="F473" t="s">
        <v>32</v>
      </c>
      <c r="G473" t="s">
        <v>14</v>
      </c>
      <c r="H473" s="2">
        <v>2558.92</v>
      </c>
      <c r="I473">
        <v>18</v>
      </c>
      <c r="J473" t="s">
        <v>25</v>
      </c>
      <c r="K473" s="2">
        <v>3591.14</v>
      </c>
      <c r="L473" s="2">
        <v>3822.99</v>
      </c>
      <c r="M473" t="s">
        <v>16</v>
      </c>
      <c r="N473">
        <v>0.09</v>
      </c>
      <c r="O473" s="2">
        <f>(Sales[[#This Row],[Unit_Price]]-Sales[[#This Row],[Discount]]*Sales[[#This Row],[Unit_Price]])</f>
        <v>3478.9208999999996</v>
      </c>
      <c r="P473" t="s">
        <v>30</v>
      </c>
      <c r="Q473" t="s">
        <v>18</v>
      </c>
      <c r="R473" t="s">
        <v>52</v>
      </c>
    </row>
    <row r="474" spans="1:18" x14ac:dyDescent="0.35">
      <c r="A474">
        <v>1017</v>
      </c>
      <c r="B474" s="1">
        <v>45074</v>
      </c>
      <c r="C474" s="1" t="str">
        <f>TEXT(Sales[[#This Row],[Sale_Date]],"YYYY")</f>
        <v>2023</v>
      </c>
      <c r="D474" s="1" t="str">
        <f>TEXT(Sales[[#This Row],[Sale_Date]],"MMMM")</f>
        <v>May</v>
      </c>
      <c r="E474" s="1" t="str">
        <f>TEXT(Sales[[#This Row],[Sale_Date]],"DDDD")</f>
        <v>Sunday</v>
      </c>
      <c r="F474" t="s">
        <v>23</v>
      </c>
      <c r="G474" t="s">
        <v>33</v>
      </c>
      <c r="H474" s="2">
        <v>2222.62</v>
      </c>
      <c r="I474">
        <v>35</v>
      </c>
      <c r="J474" t="s">
        <v>34</v>
      </c>
      <c r="K474" s="2">
        <v>4867.6400000000003</v>
      </c>
      <c r="L474" s="2">
        <v>5287.05</v>
      </c>
      <c r="M474" t="s">
        <v>16</v>
      </c>
      <c r="N474">
        <v>0.28000000000000003</v>
      </c>
      <c r="O474" s="2">
        <f>(Sales[[#This Row],[Unit_Price]]-Sales[[#This Row],[Discount]]*Sales[[#This Row],[Unit_Price]])</f>
        <v>3806.6759999999999</v>
      </c>
      <c r="P474" t="s">
        <v>30</v>
      </c>
      <c r="Q474" t="s">
        <v>18</v>
      </c>
      <c r="R474" t="s">
        <v>49</v>
      </c>
    </row>
    <row r="475" spans="1:18" x14ac:dyDescent="0.35">
      <c r="A475">
        <v>1063</v>
      </c>
      <c r="B475" s="1">
        <v>45153</v>
      </c>
      <c r="C475" s="1" t="str">
        <f>TEXT(Sales[[#This Row],[Sale_Date]],"YYYY")</f>
        <v>2023</v>
      </c>
      <c r="D475" s="1" t="str">
        <f>TEXT(Sales[[#This Row],[Sale_Date]],"MMMM")</f>
        <v>August</v>
      </c>
      <c r="E475" s="1" t="str">
        <f>TEXT(Sales[[#This Row],[Sale_Date]],"DDDD")</f>
        <v>Tuesday</v>
      </c>
      <c r="F475" t="s">
        <v>41</v>
      </c>
      <c r="G475" t="s">
        <v>33</v>
      </c>
      <c r="H475" s="2">
        <v>2780.98</v>
      </c>
      <c r="I475">
        <v>26</v>
      </c>
      <c r="J475" t="s">
        <v>25</v>
      </c>
      <c r="K475" s="2">
        <v>1046.96</v>
      </c>
      <c r="L475" s="2">
        <v>1528.15</v>
      </c>
      <c r="M475" t="s">
        <v>29</v>
      </c>
      <c r="N475">
        <v>7.0000000000000007E-2</v>
      </c>
      <c r="O475" s="2">
        <f>(Sales[[#This Row],[Unit_Price]]-Sales[[#This Row],[Discount]]*Sales[[#This Row],[Unit_Price]])</f>
        <v>1421.1795000000002</v>
      </c>
      <c r="P475" t="s">
        <v>30</v>
      </c>
      <c r="Q475" t="s">
        <v>21</v>
      </c>
      <c r="R475" t="s">
        <v>51</v>
      </c>
    </row>
    <row r="476" spans="1:18" x14ac:dyDescent="0.35">
      <c r="A476">
        <v>1019</v>
      </c>
      <c r="B476" s="1">
        <v>45170</v>
      </c>
      <c r="C476" s="1" t="str">
        <f>TEXT(Sales[[#This Row],[Sale_Date]],"YYYY")</f>
        <v>2023</v>
      </c>
      <c r="D476" s="1" t="str">
        <f>TEXT(Sales[[#This Row],[Sale_Date]],"MMMM")</f>
        <v>September</v>
      </c>
      <c r="E476" s="1" t="str">
        <f>TEXT(Sales[[#This Row],[Sale_Date]],"DDDD")</f>
        <v>Friday</v>
      </c>
      <c r="F476" t="s">
        <v>23</v>
      </c>
      <c r="G476" t="s">
        <v>20</v>
      </c>
      <c r="H476" s="2">
        <v>2550.84</v>
      </c>
      <c r="I476">
        <v>16</v>
      </c>
      <c r="J476" t="s">
        <v>28</v>
      </c>
      <c r="K476" s="2">
        <v>97.24</v>
      </c>
      <c r="L476" s="2">
        <v>487.03</v>
      </c>
      <c r="M476" t="s">
        <v>29</v>
      </c>
      <c r="N476">
        <v>0.22</v>
      </c>
      <c r="O476" s="2">
        <f>(Sales[[#This Row],[Unit_Price]]-Sales[[#This Row],[Discount]]*Sales[[#This Row],[Unit_Price]])</f>
        <v>379.88339999999999</v>
      </c>
      <c r="P476" t="s">
        <v>26</v>
      </c>
      <c r="Q476" t="s">
        <v>21</v>
      </c>
      <c r="R476" t="s">
        <v>46</v>
      </c>
    </row>
    <row r="477" spans="1:18" x14ac:dyDescent="0.35">
      <c r="A477">
        <v>1092</v>
      </c>
      <c r="B477" s="1">
        <v>45263</v>
      </c>
      <c r="C477" s="1" t="str">
        <f>TEXT(Sales[[#This Row],[Sale_Date]],"YYYY")</f>
        <v>2023</v>
      </c>
      <c r="D477" s="1" t="str">
        <f>TEXT(Sales[[#This Row],[Sale_Date]],"MMMM")</f>
        <v>December</v>
      </c>
      <c r="E477" s="1" t="str">
        <f>TEXT(Sales[[#This Row],[Sale_Date]],"DDDD")</f>
        <v>Sunday</v>
      </c>
      <c r="F477" t="s">
        <v>23</v>
      </c>
      <c r="G477" t="s">
        <v>33</v>
      </c>
      <c r="H477" s="2">
        <v>719.01</v>
      </c>
      <c r="I477">
        <v>6</v>
      </c>
      <c r="J477" t="s">
        <v>28</v>
      </c>
      <c r="K477" s="2">
        <v>422.74</v>
      </c>
      <c r="L477" s="2">
        <v>737.49</v>
      </c>
      <c r="M477" t="s">
        <v>16</v>
      </c>
      <c r="N477">
        <v>0.19</v>
      </c>
      <c r="O477" s="2">
        <f>(Sales[[#This Row],[Unit_Price]]-Sales[[#This Row],[Discount]]*Sales[[#This Row],[Unit_Price]])</f>
        <v>597.36689999999999</v>
      </c>
      <c r="P477" t="s">
        <v>30</v>
      </c>
      <c r="Q477" t="s">
        <v>21</v>
      </c>
      <c r="R477" t="s">
        <v>49</v>
      </c>
    </row>
    <row r="478" spans="1:18" x14ac:dyDescent="0.35">
      <c r="A478">
        <v>1058</v>
      </c>
      <c r="B478" s="1">
        <v>45291</v>
      </c>
      <c r="C478" s="1" t="str">
        <f>TEXT(Sales[[#This Row],[Sale_Date]],"YYYY")</f>
        <v>2023</v>
      </c>
      <c r="D478" s="1" t="str">
        <f>TEXT(Sales[[#This Row],[Sale_Date]],"MMMM")</f>
        <v>December</v>
      </c>
      <c r="E478" s="1" t="str">
        <f>TEXT(Sales[[#This Row],[Sale_Date]],"DDDD")</f>
        <v>Sunday</v>
      </c>
      <c r="F478" t="s">
        <v>41</v>
      </c>
      <c r="G478" t="s">
        <v>20</v>
      </c>
      <c r="H478" s="2">
        <v>4643.51</v>
      </c>
      <c r="I478">
        <v>44</v>
      </c>
      <c r="J478" t="s">
        <v>28</v>
      </c>
      <c r="K478" s="2">
        <v>1910.47</v>
      </c>
      <c r="L478" s="2">
        <v>2217.8000000000002</v>
      </c>
      <c r="M478" t="s">
        <v>29</v>
      </c>
      <c r="N478">
        <v>0.22</v>
      </c>
      <c r="O478" s="2">
        <f>(Sales[[#This Row],[Unit_Price]]-Sales[[#This Row],[Discount]]*Sales[[#This Row],[Unit_Price]])</f>
        <v>1729.884</v>
      </c>
      <c r="P478" t="s">
        <v>26</v>
      </c>
      <c r="Q478" t="s">
        <v>18</v>
      </c>
      <c r="R478" t="s">
        <v>50</v>
      </c>
    </row>
    <row r="479" spans="1:18" x14ac:dyDescent="0.35">
      <c r="A479">
        <v>1055</v>
      </c>
      <c r="B479" s="1">
        <v>45127</v>
      </c>
      <c r="C479" s="1" t="str">
        <f>TEXT(Sales[[#This Row],[Sale_Date]],"YYYY")</f>
        <v>2023</v>
      </c>
      <c r="D479" s="1" t="str">
        <f>TEXT(Sales[[#This Row],[Sale_Date]],"MMMM")</f>
        <v>July</v>
      </c>
      <c r="E479" s="1" t="str">
        <f>TEXT(Sales[[#This Row],[Sale_Date]],"DDDD")</f>
        <v>Thursday</v>
      </c>
      <c r="F479" t="s">
        <v>37</v>
      </c>
      <c r="G479" t="s">
        <v>20</v>
      </c>
      <c r="H479" s="2">
        <v>7354.06</v>
      </c>
      <c r="I479">
        <v>43</v>
      </c>
      <c r="J479" t="s">
        <v>15</v>
      </c>
      <c r="K479" s="2">
        <v>4111.7</v>
      </c>
      <c r="L479" s="2">
        <v>4537.9399999999996</v>
      </c>
      <c r="M479" t="s">
        <v>16</v>
      </c>
      <c r="N479">
        <v>0.13</v>
      </c>
      <c r="O479" s="2">
        <f>(Sales[[#This Row],[Unit_Price]]-Sales[[#This Row],[Discount]]*Sales[[#This Row],[Unit_Price]])</f>
        <v>3948.0077999999994</v>
      </c>
      <c r="P479" t="s">
        <v>26</v>
      </c>
      <c r="Q479" t="s">
        <v>18</v>
      </c>
      <c r="R479" t="s">
        <v>40</v>
      </c>
    </row>
    <row r="480" spans="1:18" x14ac:dyDescent="0.35">
      <c r="A480">
        <v>1090</v>
      </c>
      <c r="B480" s="1">
        <v>45080</v>
      </c>
      <c r="C480" s="1" t="str">
        <f>TEXT(Sales[[#This Row],[Sale_Date]],"YYYY")</f>
        <v>2023</v>
      </c>
      <c r="D480" s="1" t="str">
        <f>TEXT(Sales[[#This Row],[Sale_Date]],"MMMM")</f>
        <v>June</v>
      </c>
      <c r="E480" s="1" t="str">
        <f>TEXT(Sales[[#This Row],[Sale_Date]],"DDDD")</f>
        <v>Saturday</v>
      </c>
      <c r="F480" t="s">
        <v>23</v>
      </c>
      <c r="G480" t="s">
        <v>24</v>
      </c>
      <c r="H480" s="2">
        <v>6106.64</v>
      </c>
      <c r="I480">
        <v>47</v>
      </c>
      <c r="J480" t="s">
        <v>15</v>
      </c>
      <c r="K480" s="2">
        <v>85.35</v>
      </c>
      <c r="L480" s="2">
        <v>360.539999999999</v>
      </c>
      <c r="M480" t="s">
        <v>29</v>
      </c>
      <c r="N480">
        <v>0.28000000000000003</v>
      </c>
      <c r="O480" s="2">
        <f>(Sales[[#This Row],[Unit_Price]]-Sales[[#This Row],[Discount]]*Sales[[#This Row],[Unit_Price]])</f>
        <v>259.58879999999925</v>
      </c>
      <c r="P480" t="s">
        <v>17</v>
      </c>
      <c r="Q480" t="s">
        <v>18</v>
      </c>
      <c r="R480" t="s">
        <v>27</v>
      </c>
    </row>
    <row r="481" spans="1:18" x14ac:dyDescent="0.35">
      <c r="A481">
        <v>1090</v>
      </c>
      <c r="B481" s="1">
        <v>44999</v>
      </c>
      <c r="C481" s="1" t="str">
        <f>TEXT(Sales[[#This Row],[Sale_Date]],"YYYY")</f>
        <v>2023</v>
      </c>
      <c r="D481" s="1" t="str">
        <f>TEXT(Sales[[#This Row],[Sale_Date]],"MMMM")</f>
        <v>March</v>
      </c>
      <c r="E481" s="1" t="str">
        <f>TEXT(Sales[[#This Row],[Sale_Date]],"DDDD")</f>
        <v>Tuesday</v>
      </c>
      <c r="F481" t="s">
        <v>23</v>
      </c>
      <c r="G481" t="s">
        <v>33</v>
      </c>
      <c r="H481" s="2">
        <v>6761.43</v>
      </c>
      <c r="I481">
        <v>47</v>
      </c>
      <c r="J481" t="s">
        <v>15</v>
      </c>
      <c r="K481" s="2">
        <v>2310.8200000000002</v>
      </c>
      <c r="L481" s="2">
        <v>2714.71</v>
      </c>
      <c r="M481" t="s">
        <v>29</v>
      </c>
      <c r="N481">
        <v>0.19</v>
      </c>
      <c r="O481" s="2">
        <f>(Sales[[#This Row],[Unit_Price]]-Sales[[#This Row],[Discount]]*Sales[[#This Row],[Unit_Price]])</f>
        <v>2198.9151000000002</v>
      </c>
      <c r="P481" t="s">
        <v>17</v>
      </c>
      <c r="Q481" t="s">
        <v>21</v>
      </c>
      <c r="R481" t="s">
        <v>49</v>
      </c>
    </row>
    <row r="482" spans="1:18" x14ac:dyDescent="0.35">
      <c r="A482">
        <v>1062</v>
      </c>
      <c r="B482" s="1">
        <v>45127</v>
      </c>
      <c r="C482" s="1" t="str">
        <f>TEXT(Sales[[#This Row],[Sale_Date]],"YYYY")</f>
        <v>2023</v>
      </c>
      <c r="D482" s="1" t="str">
        <f>TEXT(Sales[[#This Row],[Sale_Date]],"MMMM")</f>
        <v>July</v>
      </c>
      <c r="E482" s="1" t="str">
        <f>TEXT(Sales[[#This Row],[Sale_Date]],"DDDD")</f>
        <v>Thursday</v>
      </c>
      <c r="F482" t="s">
        <v>37</v>
      </c>
      <c r="G482" t="s">
        <v>14</v>
      </c>
      <c r="H482" s="2">
        <v>903.38</v>
      </c>
      <c r="I482">
        <v>48</v>
      </c>
      <c r="J482" t="s">
        <v>34</v>
      </c>
      <c r="K482" s="2">
        <v>1679.69</v>
      </c>
      <c r="L482" s="2">
        <v>1939.04</v>
      </c>
      <c r="M482" t="s">
        <v>29</v>
      </c>
      <c r="N482">
        <v>0.09</v>
      </c>
      <c r="O482" s="2">
        <f>(Sales[[#This Row],[Unit_Price]]-Sales[[#This Row],[Discount]]*Sales[[#This Row],[Unit_Price]])</f>
        <v>1764.5264</v>
      </c>
      <c r="P482" t="s">
        <v>30</v>
      </c>
      <c r="Q482" t="s">
        <v>18</v>
      </c>
      <c r="R482" t="s">
        <v>39</v>
      </c>
    </row>
    <row r="483" spans="1:18" x14ac:dyDescent="0.35">
      <c r="A483">
        <v>1023</v>
      </c>
      <c r="B483" s="1">
        <v>45222</v>
      </c>
      <c r="C483" s="1" t="str">
        <f>TEXT(Sales[[#This Row],[Sale_Date]],"YYYY")</f>
        <v>2023</v>
      </c>
      <c r="D483" s="1" t="str">
        <f>TEXT(Sales[[#This Row],[Sale_Date]],"MMMM")</f>
        <v>October</v>
      </c>
      <c r="E483" s="1" t="str">
        <f>TEXT(Sales[[#This Row],[Sale_Date]],"DDDD")</f>
        <v>Monday</v>
      </c>
      <c r="F483" t="s">
        <v>23</v>
      </c>
      <c r="G483" t="s">
        <v>24</v>
      </c>
      <c r="H483" s="2">
        <v>9519.76</v>
      </c>
      <c r="I483">
        <v>42</v>
      </c>
      <c r="J483" t="s">
        <v>25</v>
      </c>
      <c r="K483" s="2">
        <v>309.77999999999997</v>
      </c>
      <c r="L483" s="2">
        <v>350.38</v>
      </c>
      <c r="M483" t="s">
        <v>16</v>
      </c>
      <c r="N483">
        <v>0.19</v>
      </c>
      <c r="O483" s="2">
        <f>(Sales[[#This Row],[Unit_Price]]-Sales[[#This Row],[Discount]]*Sales[[#This Row],[Unit_Price]])</f>
        <v>283.80779999999999</v>
      </c>
      <c r="P483" t="s">
        <v>30</v>
      </c>
      <c r="Q483" t="s">
        <v>21</v>
      </c>
      <c r="R483" t="s">
        <v>27</v>
      </c>
    </row>
    <row r="484" spans="1:18" x14ac:dyDescent="0.35">
      <c r="A484">
        <v>1009</v>
      </c>
      <c r="B484" s="1">
        <v>44943</v>
      </c>
      <c r="C484" s="1" t="str">
        <f>TEXT(Sales[[#This Row],[Sale_Date]],"YYYY")</f>
        <v>2023</v>
      </c>
      <c r="D484" s="1" t="str">
        <f>TEXT(Sales[[#This Row],[Sale_Date]],"MMMM")</f>
        <v>January</v>
      </c>
      <c r="E484" s="1" t="str">
        <f>TEXT(Sales[[#This Row],[Sale_Date]],"DDDD")</f>
        <v>Tuesday</v>
      </c>
      <c r="F484" t="s">
        <v>23</v>
      </c>
      <c r="G484" t="s">
        <v>20</v>
      </c>
      <c r="H484" s="2">
        <v>8401.07</v>
      </c>
      <c r="I484">
        <v>12</v>
      </c>
      <c r="J484" t="s">
        <v>15</v>
      </c>
      <c r="K484" s="2">
        <v>2278.67</v>
      </c>
      <c r="L484" s="2">
        <v>2476.8000000000002</v>
      </c>
      <c r="M484" t="s">
        <v>29</v>
      </c>
      <c r="N484">
        <v>0.09</v>
      </c>
      <c r="O484" s="2">
        <f>(Sales[[#This Row],[Unit_Price]]-Sales[[#This Row],[Discount]]*Sales[[#This Row],[Unit_Price]])</f>
        <v>2253.8880000000004</v>
      </c>
      <c r="P484" t="s">
        <v>17</v>
      </c>
      <c r="Q484" t="s">
        <v>21</v>
      </c>
      <c r="R484" t="s">
        <v>46</v>
      </c>
    </row>
    <row r="485" spans="1:18" x14ac:dyDescent="0.35">
      <c r="A485">
        <v>1012</v>
      </c>
      <c r="B485" s="1">
        <v>45055</v>
      </c>
      <c r="C485" s="1" t="str">
        <f>TEXT(Sales[[#This Row],[Sale_Date]],"YYYY")</f>
        <v>2023</v>
      </c>
      <c r="D485" s="1" t="str">
        <f>TEXT(Sales[[#This Row],[Sale_Date]],"MMMM")</f>
        <v>May</v>
      </c>
      <c r="E485" s="1" t="str">
        <f>TEXT(Sales[[#This Row],[Sale_Date]],"DDDD")</f>
        <v>Tuesday</v>
      </c>
      <c r="F485" t="s">
        <v>23</v>
      </c>
      <c r="G485" t="s">
        <v>20</v>
      </c>
      <c r="H485" s="2">
        <v>8070.39</v>
      </c>
      <c r="I485">
        <v>13</v>
      </c>
      <c r="J485" t="s">
        <v>25</v>
      </c>
      <c r="K485" s="2">
        <v>1311.01</v>
      </c>
      <c r="L485" s="2">
        <v>1538.79</v>
      </c>
      <c r="M485" t="s">
        <v>16</v>
      </c>
      <c r="N485">
        <v>0.09</v>
      </c>
      <c r="O485" s="2">
        <f>(Sales[[#This Row],[Unit_Price]]-Sales[[#This Row],[Discount]]*Sales[[#This Row],[Unit_Price]])</f>
        <v>1400.2989</v>
      </c>
      <c r="P485" t="s">
        <v>26</v>
      </c>
      <c r="Q485" t="s">
        <v>21</v>
      </c>
      <c r="R485" t="s">
        <v>46</v>
      </c>
    </row>
    <row r="486" spans="1:18" x14ac:dyDescent="0.35">
      <c r="A486">
        <v>1001</v>
      </c>
      <c r="B486" s="1">
        <v>45143</v>
      </c>
      <c r="C486" s="1" t="str">
        <f>TEXT(Sales[[#This Row],[Sale_Date]],"YYYY")</f>
        <v>2023</v>
      </c>
      <c r="D486" s="1" t="str">
        <f>TEXT(Sales[[#This Row],[Sale_Date]],"MMMM")</f>
        <v>August</v>
      </c>
      <c r="E486" s="1" t="str">
        <f>TEXT(Sales[[#This Row],[Sale_Date]],"DDDD")</f>
        <v>Saturday</v>
      </c>
      <c r="F486" t="s">
        <v>13</v>
      </c>
      <c r="G486" t="s">
        <v>14</v>
      </c>
      <c r="H486" s="2">
        <v>8247.5400000000009</v>
      </c>
      <c r="I486">
        <v>4</v>
      </c>
      <c r="J486" t="s">
        <v>25</v>
      </c>
      <c r="K486" s="2">
        <v>1791.83</v>
      </c>
      <c r="L486" s="2">
        <v>1871.22</v>
      </c>
      <c r="M486" t="s">
        <v>16</v>
      </c>
      <c r="N486">
        <v>0.12</v>
      </c>
      <c r="O486" s="2">
        <f>(Sales[[#This Row],[Unit_Price]]-Sales[[#This Row],[Discount]]*Sales[[#This Row],[Unit_Price]])</f>
        <v>1646.6736000000001</v>
      </c>
      <c r="P486" t="s">
        <v>26</v>
      </c>
      <c r="Q486" t="s">
        <v>18</v>
      </c>
      <c r="R486" t="s">
        <v>19</v>
      </c>
    </row>
    <row r="487" spans="1:18" x14ac:dyDescent="0.35">
      <c r="A487">
        <v>1058</v>
      </c>
      <c r="B487" s="1">
        <v>44987</v>
      </c>
      <c r="C487" s="1" t="str">
        <f>TEXT(Sales[[#This Row],[Sale_Date]],"YYYY")</f>
        <v>2023</v>
      </c>
      <c r="D487" s="1" t="str">
        <f>TEXT(Sales[[#This Row],[Sale_Date]],"MMMM")</f>
        <v>March</v>
      </c>
      <c r="E487" s="1" t="str">
        <f>TEXT(Sales[[#This Row],[Sale_Date]],"DDDD")</f>
        <v>Thursday</v>
      </c>
      <c r="F487" t="s">
        <v>37</v>
      </c>
      <c r="G487" t="s">
        <v>20</v>
      </c>
      <c r="H487" s="2">
        <v>9333.83</v>
      </c>
      <c r="I487">
        <v>39</v>
      </c>
      <c r="J487" t="s">
        <v>25</v>
      </c>
      <c r="K487" s="2">
        <v>3542.8</v>
      </c>
      <c r="L487" s="2">
        <v>3603.02</v>
      </c>
      <c r="M487" t="s">
        <v>16</v>
      </c>
      <c r="N487">
        <v>0.26</v>
      </c>
      <c r="O487" s="2">
        <f>(Sales[[#This Row],[Unit_Price]]-Sales[[#This Row],[Discount]]*Sales[[#This Row],[Unit_Price]])</f>
        <v>2666.2348000000002</v>
      </c>
      <c r="P487" t="s">
        <v>17</v>
      </c>
      <c r="Q487" t="s">
        <v>18</v>
      </c>
      <c r="R487" t="s">
        <v>40</v>
      </c>
    </row>
    <row r="488" spans="1:18" x14ac:dyDescent="0.35">
      <c r="A488">
        <v>1001</v>
      </c>
      <c r="B488" s="1">
        <v>45030</v>
      </c>
      <c r="C488" s="1" t="str">
        <f>TEXT(Sales[[#This Row],[Sale_Date]],"YYYY")</f>
        <v>2023</v>
      </c>
      <c r="D488" s="1" t="str">
        <f>TEXT(Sales[[#This Row],[Sale_Date]],"MMMM")</f>
        <v>April</v>
      </c>
      <c r="E488" s="1" t="str">
        <f>TEXT(Sales[[#This Row],[Sale_Date]],"DDDD")</f>
        <v>Friday</v>
      </c>
      <c r="F488" t="s">
        <v>23</v>
      </c>
      <c r="G488" t="s">
        <v>33</v>
      </c>
      <c r="H488" s="2">
        <v>5488.11</v>
      </c>
      <c r="I488">
        <v>2</v>
      </c>
      <c r="J488" t="s">
        <v>34</v>
      </c>
      <c r="K488" s="2">
        <v>2631.68</v>
      </c>
      <c r="L488" s="2">
        <v>2904.06</v>
      </c>
      <c r="M488" t="s">
        <v>29</v>
      </c>
      <c r="N488">
        <v>0.15</v>
      </c>
      <c r="O488" s="2">
        <f>(Sales[[#This Row],[Unit_Price]]-Sales[[#This Row],[Discount]]*Sales[[#This Row],[Unit_Price]])</f>
        <v>2468.451</v>
      </c>
      <c r="P488" t="s">
        <v>26</v>
      </c>
      <c r="Q488" t="s">
        <v>18</v>
      </c>
      <c r="R488" t="s">
        <v>49</v>
      </c>
    </row>
    <row r="489" spans="1:18" x14ac:dyDescent="0.35">
      <c r="A489">
        <v>1034</v>
      </c>
      <c r="B489" s="1">
        <v>44968</v>
      </c>
      <c r="C489" s="1" t="str">
        <f>TEXT(Sales[[#This Row],[Sale_Date]],"YYYY")</f>
        <v>2023</v>
      </c>
      <c r="D489" s="1" t="str">
        <f>TEXT(Sales[[#This Row],[Sale_Date]],"MMMM")</f>
        <v>February</v>
      </c>
      <c r="E489" s="1" t="str">
        <f>TEXT(Sales[[#This Row],[Sale_Date]],"DDDD")</f>
        <v>Saturday</v>
      </c>
      <c r="F489" t="s">
        <v>37</v>
      </c>
      <c r="G489" t="s">
        <v>24</v>
      </c>
      <c r="H489" s="2">
        <v>2082.79</v>
      </c>
      <c r="I489">
        <v>26</v>
      </c>
      <c r="J489" t="s">
        <v>34</v>
      </c>
      <c r="K489" s="2">
        <v>667</v>
      </c>
      <c r="L489" s="2">
        <v>718.72</v>
      </c>
      <c r="M489" t="s">
        <v>29</v>
      </c>
      <c r="N489">
        <v>0.2</v>
      </c>
      <c r="O489" s="2">
        <f>(Sales[[#This Row],[Unit_Price]]-Sales[[#This Row],[Discount]]*Sales[[#This Row],[Unit_Price]])</f>
        <v>574.976</v>
      </c>
      <c r="P489" t="s">
        <v>17</v>
      </c>
      <c r="Q489" t="s">
        <v>21</v>
      </c>
      <c r="R489" t="s">
        <v>38</v>
      </c>
    </row>
    <row r="490" spans="1:18" x14ac:dyDescent="0.35">
      <c r="A490">
        <v>1096</v>
      </c>
      <c r="B490" s="1">
        <v>44951</v>
      </c>
      <c r="C490" s="1" t="str">
        <f>TEXT(Sales[[#This Row],[Sale_Date]],"YYYY")</f>
        <v>2023</v>
      </c>
      <c r="D490" s="1" t="str">
        <f>TEXT(Sales[[#This Row],[Sale_Date]],"MMMM")</f>
        <v>January</v>
      </c>
      <c r="E490" s="1" t="str">
        <f>TEXT(Sales[[#This Row],[Sale_Date]],"DDDD")</f>
        <v>Wednesday</v>
      </c>
      <c r="F490" t="s">
        <v>32</v>
      </c>
      <c r="G490" t="s">
        <v>20</v>
      </c>
      <c r="H490" s="2">
        <v>6206.16</v>
      </c>
      <c r="I490">
        <v>27</v>
      </c>
      <c r="J490" t="s">
        <v>28</v>
      </c>
      <c r="K490" s="2">
        <v>4809</v>
      </c>
      <c r="L490" s="2">
        <v>4967.4399999999996</v>
      </c>
      <c r="M490" t="s">
        <v>29</v>
      </c>
      <c r="N490">
        <v>0.12</v>
      </c>
      <c r="O490" s="2">
        <f>(Sales[[#This Row],[Unit_Price]]-Sales[[#This Row],[Discount]]*Sales[[#This Row],[Unit_Price]])</f>
        <v>4371.3472000000002</v>
      </c>
      <c r="P490" t="s">
        <v>17</v>
      </c>
      <c r="Q490" t="s">
        <v>18</v>
      </c>
      <c r="R490" t="s">
        <v>36</v>
      </c>
    </row>
    <row r="491" spans="1:18" x14ac:dyDescent="0.35">
      <c r="A491">
        <v>1048</v>
      </c>
      <c r="B491" s="1">
        <v>44965</v>
      </c>
      <c r="C491" s="1" t="str">
        <f>TEXT(Sales[[#This Row],[Sale_Date]],"YYYY")</f>
        <v>2023</v>
      </c>
      <c r="D491" s="1" t="str">
        <f>TEXT(Sales[[#This Row],[Sale_Date]],"MMMM")</f>
        <v>February</v>
      </c>
      <c r="E491" s="1" t="str">
        <f>TEXT(Sales[[#This Row],[Sale_Date]],"DDDD")</f>
        <v>Wednesday</v>
      </c>
      <c r="F491" t="s">
        <v>32</v>
      </c>
      <c r="G491" t="s">
        <v>20</v>
      </c>
      <c r="H491" s="2">
        <v>7454.53</v>
      </c>
      <c r="I491">
        <v>27</v>
      </c>
      <c r="J491" t="s">
        <v>28</v>
      </c>
      <c r="K491" s="2">
        <v>3197.76</v>
      </c>
      <c r="L491" s="2">
        <v>3572.61</v>
      </c>
      <c r="M491" t="s">
        <v>16</v>
      </c>
      <c r="N491">
        <v>0.08</v>
      </c>
      <c r="O491" s="2">
        <f>(Sales[[#This Row],[Unit_Price]]-Sales[[#This Row],[Discount]]*Sales[[#This Row],[Unit_Price]])</f>
        <v>3286.8011999999999</v>
      </c>
      <c r="P491" t="s">
        <v>30</v>
      </c>
      <c r="Q491" t="s">
        <v>18</v>
      </c>
      <c r="R491" t="s">
        <v>36</v>
      </c>
    </row>
    <row r="492" spans="1:18" x14ac:dyDescent="0.35">
      <c r="A492">
        <v>1089</v>
      </c>
      <c r="B492" s="1">
        <v>45217</v>
      </c>
      <c r="C492" s="1" t="str">
        <f>TEXT(Sales[[#This Row],[Sale_Date]],"YYYY")</f>
        <v>2023</v>
      </c>
      <c r="D492" s="1" t="str">
        <f>TEXT(Sales[[#This Row],[Sale_Date]],"MMMM")</f>
        <v>October</v>
      </c>
      <c r="E492" s="1" t="str">
        <f>TEXT(Sales[[#This Row],[Sale_Date]],"DDDD")</f>
        <v>Wednesday</v>
      </c>
      <c r="F492" t="s">
        <v>23</v>
      </c>
      <c r="G492" t="s">
        <v>14</v>
      </c>
      <c r="H492" s="2">
        <v>7405.38</v>
      </c>
      <c r="I492">
        <v>15</v>
      </c>
      <c r="J492" t="s">
        <v>25</v>
      </c>
      <c r="K492" s="2">
        <v>3841.05</v>
      </c>
      <c r="L492" s="2">
        <v>4323.62</v>
      </c>
      <c r="M492" t="s">
        <v>16</v>
      </c>
      <c r="N492">
        <v>0.28999999999999998</v>
      </c>
      <c r="O492" s="2">
        <f>(Sales[[#This Row],[Unit_Price]]-Sales[[#This Row],[Discount]]*Sales[[#This Row],[Unit_Price]])</f>
        <v>3069.7701999999999</v>
      </c>
      <c r="P492" t="s">
        <v>30</v>
      </c>
      <c r="Q492" t="s">
        <v>21</v>
      </c>
      <c r="R492" t="s">
        <v>44</v>
      </c>
    </row>
    <row r="493" spans="1:18" x14ac:dyDescent="0.35">
      <c r="A493">
        <v>1001</v>
      </c>
      <c r="B493" s="1">
        <v>45057</v>
      </c>
      <c r="C493" s="1" t="str">
        <f>TEXT(Sales[[#This Row],[Sale_Date]],"YYYY")</f>
        <v>2023</v>
      </c>
      <c r="D493" s="1" t="str">
        <f>TEXT(Sales[[#This Row],[Sale_Date]],"MMMM")</f>
        <v>May</v>
      </c>
      <c r="E493" s="1" t="str">
        <f>TEXT(Sales[[#This Row],[Sale_Date]],"DDDD")</f>
        <v>Thursday</v>
      </c>
      <c r="F493" t="s">
        <v>37</v>
      </c>
      <c r="G493" t="s">
        <v>33</v>
      </c>
      <c r="H493" s="2">
        <v>5262.35</v>
      </c>
      <c r="I493">
        <v>8</v>
      </c>
      <c r="J493" t="s">
        <v>28</v>
      </c>
      <c r="K493" s="2">
        <v>442.11</v>
      </c>
      <c r="L493" s="2">
        <v>803.87</v>
      </c>
      <c r="M493" t="s">
        <v>29</v>
      </c>
      <c r="N493">
        <v>0.18</v>
      </c>
      <c r="O493" s="2">
        <f>(Sales[[#This Row],[Unit_Price]]-Sales[[#This Row],[Discount]]*Sales[[#This Row],[Unit_Price]])</f>
        <v>659.17340000000002</v>
      </c>
      <c r="P493" t="s">
        <v>17</v>
      </c>
      <c r="Q493" t="s">
        <v>21</v>
      </c>
      <c r="R493" t="s">
        <v>47</v>
      </c>
    </row>
    <row r="494" spans="1:18" x14ac:dyDescent="0.35">
      <c r="A494">
        <v>1016</v>
      </c>
      <c r="B494" s="1">
        <v>45155</v>
      </c>
      <c r="C494" s="1" t="str">
        <f>TEXT(Sales[[#This Row],[Sale_Date]],"YYYY")</f>
        <v>2023</v>
      </c>
      <c r="D494" s="1" t="str">
        <f>TEXT(Sales[[#This Row],[Sale_Date]],"MMMM")</f>
        <v>August</v>
      </c>
      <c r="E494" s="1" t="str">
        <f>TEXT(Sales[[#This Row],[Sale_Date]],"DDDD")</f>
        <v>Thursday</v>
      </c>
      <c r="F494" t="s">
        <v>37</v>
      </c>
      <c r="G494" t="s">
        <v>20</v>
      </c>
      <c r="H494" s="2">
        <v>777.74</v>
      </c>
      <c r="I494">
        <v>7</v>
      </c>
      <c r="J494" t="s">
        <v>25</v>
      </c>
      <c r="K494" s="2">
        <v>282.94</v>
      </c>
      <c r="L494" s="2">
        <v>779.32999999999902</v>
      </c>
      <c r="M494" t="s">
        <v>16</v>
      </c>
      <c r="N494">
        <v>0.28000000000000003</v>
      </c>
      <c r="O494" s="2">
        <f>(Sales[[#This Row],[Unit_Price]]-Sales[[#This Row],[Discount]]*Sales[[#This Row],[Unit_Price]])</f>
        <v>561.11759999999924</v>
      </c>
      <c r="P494" t="s">
        <v>30</v>
      </c>
      <c r="Q494" t="s">
        <v>18</v>
      </c>
      <c r="R494" t="s">
        <v>40</v>
      </c>
    </row>
    <row r="495" spans="1:18" x14ac:dyDescent="0.35">
      <c r="A495">
        <v>1061</v>
      </c>
      <c r="B495" s="1">
        <v>45034</v>
      </c>
      <c r="C495" s="1" t="str">
        <f>TEXT(Sales[[#This Row],[Sale_Date]],"YYYY")</f>
        <v>2023</v>
      </c>
      <c r="D495" s="1" t="str">
        <f>TEXT(Sales[[#This Row],[Sale_Date]],"MMMM")</f>
        <v>April</v>
      </c>
      <c r="E495" s="1" t="str">
        <f>TEXT(Sales[[#This Row],[Sale_Date]],"DDDD")</f>
        <v>Tuesday</v>
      </c>
      <c r="F495" t="s">
        <v>37</v>
      </c>
      <c r="G495" t="s">
        <v>14</v>
      </c>
      <c r="H495" s="2">
        <v>3774.02</v>
      </c>
      <c r="I495">
        <v>47</v>
      </c>
      <c r="J495" t="s">
        <v>34</v>
      </c>
      <c r="K495" s="2">
        <v>146.27000000000001</v>
      </c>
      <c r="L495" s="2">
        <v>498.46</v>
      </c>
      <c r="M495" t="s">
        <v>29</v>
      </c>
      <c r="N495">
        <v>0.06</v>
      </c>
      <c r="O495" s="2">
        <f>(Sales[[#This Row],[Unit_Price]]-Sales[[#This Row],[Discount]]*Sales[[#This Row],[Unit_Price]])</f>
        <v>468.55239999999998</v>
      </c>
      <c r="P495" t="s">
        <v>17</v>
      </c>
      <c r="Q495" t="s">
        <v>21</v>
      </c>
      <c r="R495" t="s">
        <v>39</v>
      </c>
    </row>
    <row r="496" spans="1:18" x14ac:dyDescent="0.35">
      <c r="A496">
        <v>1064</v>
      </c>
      <c r="B496" s="1">
        <v>45098</v>
      </c>
      <c r="C496" s="1" t="str">
        <f>TEXT(Sales[[#This Row],[Sale_Date]],"YYYY")</f>
        <v>2023</v>
      </c>
      <c r="D496" s="1" t="str">
        <f>TEXT(Sales[[#This Row],[Sale_Date]],"MMMM")</f>
        <v>June</v>
      </c>
      <c r="E496" s="1" t="str">
        <f>TEXT(Sales[[#This Row],[Sale_Date]],"DDDD")</f>
        <v>Wednesday</v>
      </c>
      <c r="F496" t="s">
        <v>13</v>
      </c>
      <c r="G496" t="s">
        <v>20</v>
      </c>
      <c r="H496" s="2">
        <v>9215.59</v>
      </c>
      <c r="I496">
        <v>46</v>
      </c>
      <c r="J496" t="s">
        <v>34</v>
      </c>
      <c r="K496" s="2">
        <v>984.53</v>
      </c>
      <c r="L496" s="2">
        <v>1138.49</v>
      </c>
      <c r="M496" t="s">
        <v>29</v>
      </c>
      <c r="N496">
        <v>0.04</v>
      </c>
      <c r="O496" s="2">
        <f>(Sales[[#This Row],[Unit_Price]]-Sales[[#This Row],[Discount]]*Sales[[#This Row],[Unit_Price]])</f>
        <v>1092.9503999999999</v>
      </c>
      <c r="P496" t="s">
        <v>26</v>
      </c>
      <c r="Q496" t="s">
        <v>18</v>
      </c>
      <c r="R496" t="s">
        <v>22</v>
      </c>
    </row>
    <row r="497" spans="1:18" x14ac:dyDescent="0.35">
      <c r="A497">
        <v>1063</v>
      </c>
      <c r="B497" s="1">
        <v>45028</v>
      </c>
      <c r="C497" s="1" t="str">
        <f>TEXT(Sales[[#This Row],[Sale_Date]],"YYYY")</f>
        <v>2023</v>
      </c>
      <c r="D497" s="1" t="str">
        <f>TEXT(Sales[[#This Row],[Sale_Date]],"MMMM")</f>
        <v>April</v>
      </c>
      <c r="E497" s="1" t="str">
        <f>TEXT(Sales[[#This Row],[Sale_Date]],"DDDD")</f>
        <v>Wednesday</v>
      </c>
      <c r="F497" t="s">
        <v>32</v>
      </c>
      <c r="G497" t="s">
        <v>14</v>
      </c>
      <c r="H497" s="2">
        <v>5886.04</v>
      </c>
      <c r="I497">
        <v>40</v>
      </c>
      <c r="J497" t="s">
        <v>34</v>
      </c>
      <c r="K497" s="2">
        <v>2101.3200000000002</v>
      </c>
      <c r="L497" s="2">
        <v>2440.63</v>
      </c>
      <c r="M497" t="s">
        <v>29</v>
      </c>
      <c r="N497">
        <v>0.26</v>
      </c>
      <c r="O497" s="2">
        <f>(Sales[[#This Row],[Unit_Price]]-Sales[[#This Row],[Discount]]*Sales[[#This Row],[Unit_Price]])</f>
        <v>1806.0662000000002</v>
      </c>
      <c r="P497" t="s">
        <v>26</v>
      </c>
      <c r="Q497" t="s">
        <v>21</v>
      </c>
      <c r="R497" t="s">
        <v>52</v>
      </c>
    </row>
    <row r="498" spans="1:18" x14ac:dyDescent="0.35">
      <c r="A498">
        <v>1069</v>
      </c>
      <c r="B498" s="1">
        <v>45280</v>
      </c>
      <c r="C498" s="1" t="str">
        <f>TEXT(Sales[[#This Row],[Sale_Date]],"YYYY")</f>
        <v>2023</v>
      </c>
      <c r="D498" s="1" t="str">
        <f>TEXT(Sales[[#This Row],[Sale_Date]],"MMMM")</f>
        <v>December</v>
      </c>
      <c r="E498" s="1" t="str">
        <f>TEXT(Sales[[#This Row],[Sale_Date]],"DDDD")</f>
        <v>Wednesday</v>
      </c>
      <c r="F498" t="s">
        <v>37</v>
      </c>
      <c r="G498" t="s">
        <v>14</v>
      </c>
      <c r="H498" s="2">
        <v>5429.49</v>
      </c>
      <c r="I498">
        <v>12</v>
      </c>
      <c r="J498" t="s">
        <v>15</v>
      </c>
      <c r="K498" s="2">
        <v>4682.34</v>
      </c>
      <c r="L498" s="2">
        <v>5036.3999999999996</v>
      </c>
      <c r="M498" t="s">
        <v>29</v>
      </c>
      <c r="N498">
        <v>0.2</v>
      </c>
      <c r="O498" s="2">
        <f>(Sales[[#This Row],[Unit_Price]]-Sales[[#This Row],[Discount]]*Sales[[#This Row],[Unit_Price]])</f>
        <v>4029.12</v>
      </c>
      <c r="P498" t="s">
        <v>26</v>
      </c>
      <c r="Q498" t="s">
        <v>21</v>
      </c>
      <c r="R498" t="s">
        <v>39</v>
      </c>
    </row>
    <row r="499" spans="1:18" x14ac:dyDescent="0.35">
      <c r="A499">
        <v>1022</v>
      </c>
      <c r="B499" s="1">
        <v>44938</v>
      </c>
      <c r="C499" s="1" t="str">
        <f>TEXT(Sales[[#This Row],[Sale_Date]],"YYYY")</f>
        <v>2023</v>
      </c>
      <c r="D499" s="1" t="str">
        <f>TEXT(Sales[[#This Row],[Sale_Date]],"MMMM")</f>
        <v>January</v>
      </c>
      <c r="E499" s="1" t="str">
        <f>TEXT(Sales[[#This Row],[Sale_Date]],"DDDD")</f>
        <v>Thursday</v>
      </c>
      <c r="F499" t="s">
        <v>37</v>
      </c>
      <c r="G499" t="s">
        <v>33</v>
      </c>
      <c r="H499" s="2">
        <v>2761.65</v>
      </c>
      <c r="I499">
        <v>13</v>
      </c>
      <c r="J499" t="s">
        <v>25</v>
      </c>
      <c r="K499" s="2">
        <v>2312.4499999999998</v>
      </c>
      <c r="L499" s="2">
        <v>2504.6</v>
      </c>
      <c r="M499" t="s">
        <v>16</v>
      </c>
      <c r="N499">
        <v>0.06</v>
      </c>
      <c r="O499" s="2">
        <f>(Sales[[#This Row],[Unit_Price]]-Sales[[#This Row],[Discount]]*Sales[[#This Row],[Unit_Price]])</f>
        <v>2354.3240000000001</v>
      </c>
      <c r="P499" t="s">
        <v>26</v>
      </c>
      <c r="Q499" t="s">
        <v>18</v>
      </c>
      <c r="R499" t="s">
        <v>47</v>
      </c>
    </row>
    <row r="500" spans="1:18" x14ac:dyDescent="0.35">
      <c r="A500">
        <v>1093</v>
      </c>
      <c r="B500" s="1">
        <v>45201</v>
      </c>
      <c r="C500" s="1" t="str">
        <f>TEXT(Sales[[#This Row],[Sale_Date]],"YYYY")</f>
        <v>2023</v>
      </c>
      <c r="D500" s="1" t="str">
        <f>TEXT(Sales[[#This Row],[Sale_Date]],"MMMM")</f>
        <v>October</v>
      </c>
      <c r="E500" s="1" t="str">
        <f>TEXT(Sales[[#This Row],[Sale_Date]],"DDDD")</f>
        <v>Monday</v>
      </c>
      <c r="F500" t="s">
        <v>13</v>
      </c>
      <c r="G500" t="s">
        <v>20</v>
      </c>
      <c r="H500" s="2">
        <v>3747.64</v>
      </c>
      <c r="I500">
        <v>43</v>
      </c>
      <c r="J500" t="s">
        <v>34</v>
      </c>
      <c r="K500" s="2">
        <v>1486.76</v>
      </c>
      <c r="L500" s="2">
        <v>1505.44</v>
      </c>
      <c r="M500" t="s">
        <v>29</v>
      </c>
      <c r="N500">
        <v>0.08</v>
      </c>
      <c r="O500" s="2">
        <f>(Sales[[#This Row],[Unit_Price]]-Sales[[#This Row],[Discount]]*Sales[[#This Row],[Unit_Price]])</f>
        <v>1385.0048000000002</v>
      </c>
      <c r="P500" t="s">
        <v>17</v>
      </c>
      <c r="Q500" t="s">
        <v>21</v>
      </c>
      <c r="R500" t="s">
        <v>22</v>
      </c>
    </row>
    <row r="501" spans="1:18" x14ac:dyDescent="0.35">
      <c r="A501">
        <v>1067</v>
      </c>
      <c r="B501" s="1">
        <v>45027</v>
      </c>
      <c r="C501" s="1" t="str">
        <f>TEXT(Sales[[#This Row],[Sale_Date]],"YYYY")</f>
        <v>2023</v>
      </c>
      <c r="D501" s="1" t="str">
        <f>TEXT(Sales[[#This Row],[Sale_Date]],"MMMM")</f>
        <v>April</v>
      </c>
      <c r="E501" s="1" t="str">
        <f>TEXT(Sales[[#This Row],[Sale_Date]],"DDDD")</f>
        <v>Tuesday</v>
      </c>
      <c r="F501" t="s">
        <v>13</v>
      </c>
      <c r="G501" t="s">
        <v>33</v>
      </c>
      <c r="H501" s="2">
        <v>8963.93</v>
      </c>
      <c r="I501">
        <v>17</v>
      </c>
      <c r="J501" t="s">
        <v>25</v>
      </c>
      <c r="K501" s="2">
        <v>2831.58</v>
      </c>
      <c r="L501" s="2">
        <v>3186.15</v>
      </c>
      <c r="M501" t="s">
        <v>29</v>
      </c>
      <c r="N501">
        <v>0.24</v>
      </c>
      <c r="O501" s="2">
        <f>(Sales[[#This Row],[Unit_Price]]-Sales[[#This Row],[Discount]]*Sales[[#This Row],[Unit_Price]])</f>
        <v>2421.4740000000002</v>
      </c>
      <c r="P501" t="s">
        <v>26</v>
      </c>
      <c r="Q501" t="s">
        <v>21</v>
      </c>
      <c r="R501" t="s">
        <v>45</v>
      </c>
    </row>
    <row r="502" spans="1:18" x14ac:dyDescent="0.35">
      <c r="A502">
        <v>1076</v>
      </c>
      <c r="B502" s="1">
        <v>44970</v>
      </c>
      <c r="C502" s="1" t="str">
        <f>TEXT(Sales[[#This Row],[Sale_Date]],"YYYY")</f>
        <v>2023</v>
      </c>
      <c r="D502" s="1" t="str">
        <f>TEXT(Sales[[#This Row],[Sale_Date]],"MMMM")</f>
        <v>February</v>
      </c>
      <c r="E502" s="1" t="str">
        <f>TEXT(Sales[[#This Row],[Sale_Date]],"DDDD")</f>
        <v>Monday</v>
      </c>
      <c r="F502" t="s">
        <v>37</v>
      </c>
      <c r="G502" t="s">
        <v>14</v>
      </c>
      <c r="H502" s="2">
        <v>6697.98</v>
      </c>
      <c r="I502">
        <v>17</v>
      </c>
      <c r="J502" t="s">
        <v>28</v>
      </c>
      <c r="K502" s="2">
        <v>604.08000000000004</v>
      </c>
      <c r="L502" s="2">
        <v>624.71</v>
      </c>
      <c r="M502" t="s">
        <v>29</v>
      </c>
      <c r="N502">
        <v>0.14000000000000001</v>
      </c>
      <c r="O502" s="2">
        <f>(Sales[[#This Row],[Unit_Price]]-Sales[[#This Row],[Discount]]*Sales[[#This Row],[Unit_Price]])</f>
        <v>537.25060000000008</v>
      </c>
      <c r="P502" t="s">
        <v>26</v>
      </c>
      <c r="Q502" t="s">
        <v>21</v>
      </c>
      <c r="R502" t="s">
        <v>39</v>
      </c>
    </row>
    <row r="503" spans="1:18" x14ac:dyDescent="0.35">
      <c r="A503">
        <v>1026</v>
      </c>
      <c r="B503" s="1">
        <v>45231</v>
      </c>
      <c r="C503" s="1" t="str">
        <f>TEXT(Sales[[#This Row],[Sale_Date]],"YYYY")</f>
        <v>2023</v>
      </c>
      <c r="D503" s="1" t="str">
        <f>TEXT(Sales[[#This Row],[Sale_Date]],"MMMM")</f>
        <v>November</v>
      </c>
      <c r="E503" s="1" t="str">
        <f>TEXT(Sales[[#This Row],[Sale_Date]],"DDDD")</f>
        <v>Wednesday</v>
      </c>
      <c r="F503" t="s">
        <v>41</v>
      </c>
      <c r="G503" t="s">
        <v>24</v>
      </c>
      <c r="H503" s="2">
        <v>7895.13</v>
      </c>
      <c r="I503">
        <v>36</v>
      </c>
      <c r="J503" t="s">
        <v>28</v>
      </c>
      <c r="K503" s="2">
        <v>3067.05</v>
      </c>
      <c r="L503" s="2">
        <v>3386.33</v>
      </c>
      <c r="M503" t="s">
        <v>29</v>
      </c>
      <c r="N503">
        <v>0.2</v>
      </c>
      <c r="O503" s="2">
        <f>(Sales[[#This Row],[Unit_Price]]-Sales[[#This Row],[Discount]]*Sales[[#This Row],[Unit_Price]])</f>
        <v>2709.0639999999999</v>
      </c>
      <c r="P503" t="s">
        <v>26</v>
      </c>
      <c r="Q503" t="s">
        <v>18</v>
      </c>
      <c r="R503" t="s">
        <v>42</v>
      </c>
    </row>
    <row r="504" spans="1:18" x14ac:dyDescent="0.35">
      <c r="A504">
        <v>1016</v>
      </c>
      <c r="B504" s="1">
        <v>44943</v>
      </c>
      <c r="C504" s="1" t="str">
        <f>TEXT(Sales[[#This Row],[Sale_Date]],"YYYY")</f>
        <v>2023</v>
      </c>
      <c r="D504" s="1" t="str">
        <f>TEXT(Sales[[#This Row],[Sale_Date]],"MMMM")</f>
        <v>January</v>
      </c>
      <c r="E504" s="1" t="str">
        <f>TEXT(Sales[[#This Row],[Sale_Date]],"DDDD")</f>
        <v>Tuesday</v>
      </c>
      <c r="F504" t="s">
        <v>37</v>
      </c>
      <c r="G504" t="s">
        <v>20</v>
      </c>
      <c r="H504" s="2">
        <v>4598.0200000000004</v>
      </c>
      <c r="I504">
        <v>21</v>
      </c>
      <c r="J504" t="s">
        <v>34</v>
      </c>
      <c r="K504" s="2">
        <v>2863.74</v>
      </c>
      <c r="L504" s="2">
        <v>2953.91</v>
      </c>
      <c r="M504" t="s">
        <v>29</v>
      </c>
      <c r="N504">
        <v>0.1</v>
      </c>
      <c r="O504" s="2">
        <f>(Sales[[#This Row],[Unit_Price]]-Sales[[#This Row],[Discount]]*Sales[[#This Row],[Unit_Price]])</f>
        <v>2658.5189999999998</v>
      </c>
      <c r="P504" t="s">
        <v>26</v>
      </c>
      <c r="Q504" t="s">
        <v>21</v>
      </c>
      <c r="R504" t="s">
        <v>40</v>
      </c>
    </row>
    <row r="505" spans="1:18" x14ac:dyDescent="0.35">
      <c r="A505">
        <v>1051</v>
      </c>
      <c r="B505" s="1">
        <v>45256</v>
      </c>
      <c r="C505" s="1" t="str">
        <f>TEXT(Sales[[#This Row],[Sale_Date]],"YYYY")</f>
        <v>2023</v>
      </c>
      <c r="D505" s="1" t="str">
        <f>TEXT(Sales[[#This Row],[Sale_Date]],"MMMM")</f>
        <v>November</v>
      </c>
      <c r="E505" s="1" t="str">
        <f>TEXT(Sales[[#This Row],[Sale_Date]],"DDDD")</f>
        <v>Sunday</v>
      </c>
      <c r="F505" t="s">
        <v>37</v>
      </c>
      <c r="G505" t="s">
        <v>24</v>
      </c>
      <c r="H505" s="2">
        <v>6339.45</v>
      </c>
      <c r="I505">
        <v>8</v>
      </c>
      <c r="J505" t="s">
        <v>25</v>
      </c>
      <c r="K505" s="2">
        <v>3970.37</v>
      </c>
      <c r="L505" s="2">
        <v>4257.5199999999904</v>
      </c>
      <c r="M505" t="s">
        <v>29</v>
      </c>
      <c r="N505">
        <v>0.11</v>
      </c>
      <c r="O505" s="2">
        <f>(Sales[[#This Row],[Unit_Price]]-Sales[[#This Row],[Discount]]*Sales[[#This Row],[Unit_Price]])</f>
        <v>3789.1927999999916</v>
      </c>
      <c r="P505" t="s">
        <v>17</v>
      </c>
      <c r="Q505" t="s">
        <v>21</v>
      </c>
      <c r="R505" t="s">
        <v>38</v>
      </c>
    </row>
    <row r="506" spans="1:18" x14ac:dyDescent="0.35">
      <c r="A506">
        <v>1086</v>
      </c>
      <c r="B506" s="1">
        <v>44983</v>
      </c>
      <c r="C506" s="1" t="str">
        <f>TEXT(Sales[[#This Row],[Sale_Date]],"YYYY")</f>
        <v>2023</v>
      </c>
      <c r="D506" s="1" t="str">
        <f>TEXT(Sales[[#This Row],[Sale_Date]],"MMMM")</f>
        <v>February</v>
      </c>
      <c r="E506" s="1" t="str">
        <f>TEXT(Sales[[#This Row],[Sale_Date]],"DDDD")</f>
        <v>Sunday</v>
      </c>
      <c r="F506" t="s">
        <v>13</v>
      </c>
      <c r="G506" t="s">
        <v>20</v>
      </c>
      <c r="H506" s="2">
        <v>2559</v>
      </c>
      <c r="I506">
        <v>5</v>
      </c>
      <c r="J506" t="s">
        <v>34</v>
      </c>
      <c r="K506" s="2">
        <v>4934.1000000000004</v>
      </c>
      <c r="L506" s="2">
        <v>5191.0200000000004</v>
      </c>
      <c r="M506" t="s">
        <v>29</v>
      </c>
      <c r="N506">
        <v>0.3</v>
      </c>
      <c r="O506" s="2">
        <f>(Sales[[#This Row],[Unit_Price]]-Sales[[#This Row],[Discount]]*Sales[[#This Row],[Unit_Price]])</f>
        <v>3633.7140000000004</v>
      </c>
      <c r="P506" t="s">
        <v>26</v>
      </c>
      <c r="Q506" t="s">
        <v>18</v>
      </c>
      <c r="R506" t="s">
        <v>22</v>
      </c>
    </row>
    <row r="507" spans="1:18" x14ac:dyDescent="0.35">
      <c r="A507">
        <v>1057</v>
      </c>
      <c r="B507" s="1">
        <v>45237</v>
      </c>
      <c r="C507" s="1" t="str">
        <f>TEXT(Sales[[#This Row],[Sale_Date]],"YYYY")</f>
        <v>2023</v>
      </c>
      <c r="D507" s="1" t="str">
        <f>TEXT(Sales[[#This Row],[Sale_Date]],"MMMM")</f>
        <v>November</v>
      </c>
      <c r="E507" s="1" t="str">
        <f>TEXT(Sales[[#This Row],[Sale_Date]],"DDDD")</f>
        <v>Tuesday</v>
      </c>
      <c r="F507" t="s">
        <v>13</v>
      </c>
      <c r="G507" t="s">
        <v>33</v>
      </c>
      <c r="H507" s="2">
        <v>7084.06</v>
      </c>
      <c r="I507">
        <v>26</v>
      </c>
      <c r="J507" t="s">
        <v>28</v>
      </c>
      <c r="K507" s="2">
        <v>1291.82</v>
      </c>
      <c r="L507" s="2">
        <v>1308.4399999999901</v>
      </c>
      <c r="M507" t="s">
        <v>16</v>
      </c>
      <c r="N507">
        <v>7.0000000000000007E-2</v>
      </c>
      <c r="O507" s="2">
        <f>(Sales[[#This Row],[Unit_Price]]-Sales[[#This Row],[Discount]]*Sales[[#This Row],[Unit_Price]])</f>
        <v>1216.8491999999908</v>
      </c>
      <c r="P507" t="s">
        <v>30</v>
      </c>
      <c r="Q507" t="s">
        <v>18</v>
      </c>
      <c r="R507" t="s">
        <v>45</v>
      </c>
    </row>
    <row r="508" spans="1:18" x14ac:dyDescent="0.35">
      <c r="A508">
        <v>1029</v>
      </c>
      <c r="B508" s="1">
        <v>45229</v>
      </c>
      <c r="C508" s="1" t="str">
        <f>TEXT(Sales[[#This Row],[Sale_Date]],"YYYY")</f>
        <v>2023</v>
      </c>
      <c r="D508" s="1" t="str">
        <f>TEXT(Sales[[#This Row],[Sale_Date]],"MMMM")</f>
        <v>October</v>
      </c>
      <c r="E508" s="1" t="str">
        <f>TEXT(Sales[[#This Row],[Sale_Date]],"DDDD")</f>
        <v>Monday</v>
      </c>
      <c r="F508" t="s">
        <v>37</v>
      </c>
      <c r="G508" t="s">
        <v>33</v>
      </c>
      <c r="H508" s="2">
        <v>4333.25</v>
      </c>
      <c r="I508">
        <v>16</v>
      </c>
      <c r="J508" t="s">
        <v>34</v>
      </c>
      <c r="K508" s="2">
        <v>2572.8000000000002</v>
      </c>
      <c r="L508" s="2">
        <v>2760.6</v>
      </c>
      <c r="M508" t="s">
        <v>16</v>
      </c>
      <c r="N508">
        <v>0.15</v>
      </c>
      <c r="O508" s="2">
        <f>(Sales[[#This Row],[Unit_Price]]-Sales[[#This Row],[Discount]]*Sales[[#This Row],[Unit_Price]])</f>
        <v>2346.5099999999998</v>
      </c>
      <c r="P508" t="s">
        <v>30</v>
      </c>
      <c r="Q508" t="s">
        <v>21</v>
      </c>
      <c r="R508" t="s">
        <v>47</v>
      </c>
    </row>
    <row r="509" spans="1:18" x14ac:dyDescent="0.35">
      <c r="A509">
        <v>1078</v>
      </c>
      <c r="B509" s="1">
        <v>44938</v>
      </c>
      <c r="C509" s="1" t="str">
        <f>TEXT(Sales[[#This Row],[Sale_Date]],"YYYY")</f>
        <v>2023</v>
      </c>
      <c r="D509" s="1" t="str">
        <f>TEXT(Sales[[#This Row],[Sale_Date]],"MMMM")</f>
        <v>January</v>
      </c>
      <c r="E509" s="1" t="str">
        <f>TEXT(Sales[[#This Row],[Sale_Date]],"DDDD")</f>
        <v>Thursday</v>
      </c>
      <c r="F509" t="s">
        <v>37</v>
      </c>
      <c r="G509" t="s">
        <v>33</v>
      </c>
      <c r="H509" s="2">
        <v>4481.2</v>
      </c>
      <c r="I509">
        <v>36</v>
      </c>
      <c r="J509" t="s">
        <v>25</v>
      </c>
      <c r="K509" s="2">
        <v>4548.88</v>
      </c>
      <c r="L509" s="2">
        <v>4853.41</v>
      </c>
      <c r="M509" t="s">
        <v>16</v>
      </c>
      <c r="N509">
        <v>0.25</v>
      </c>
      <c r="O509" s="2">
        <f>(Sales[[#This Row],[Unit_Price]]-Sales[[#This Row],[Discount]]*Sales[[#This Row],[Unit_Price]])</f>
        <v>3640.0574999999999</v>
      </c>
      <c r="P509" t="s">
        <v>30</v>
      </c>
      <c r="Q509" t="s">
        <v>21</v>
      </c>
      <c r="R509" t="s">
        <v>47</v>
      </c>
    </row>
    <row r="510" spans="1:18" x14ac:dyDescent="0.35">
      <c r="A510">
        <v>1092</v>
      </c>
      <c r="B510" s="1">
        <v>45244</v>
      </c>
      <c r="C510" s="1" t="str">
        <f>TEXT(Sales[[#This Row],[Sale_Date]],"YYYY")</f>
        <v>2023</v>
      </c>
      <c r="D510" s="1" t="str">
        <f>TEXT(Sales[[#This Row],[Sale_Date]],"MMMM")</f>
        <v>November</v>
      </c>
      <c r="E510" s="1" t="str">
        <f>TEXT(Sales[[#This Row],[Sale_Date]],"DDDD")</f>
        <v>Tuesday</v>
      </c>
      <c r="F510" t="s">
        <v>37</v>
      </c>
      <c r="G510" t="s">
        <v>33</v>
      </c>
      <c r="H510" s="2">
        <v>6528.29</v>
      </c>
      <c r="I510">
        <v>28</v>
      </c>
      <c r="J510" t="s">
        <v>28</v>
      </c>
      <c r="K510" s="2">
        <v>3936.69</v>
      </c>
      <c r="L510" s="2">
        <v>4362.51</v>
      </c>
      <c r="M510" t="s">
        <v>16</v>
      </c>
      <c r="N510">
        <v>7.0000000000000007E-2</v>
      </c>
      <c r="O510" s="2">
        <f>(Sales[[#This Row],[Unit_Price]]-Sales[[#This Row],[Discount]]*Sales[[#This Row],[Unit_Price]])</f>
        <v>4057.1343000000002</v>
      </c>
      <c r="P510" t="s">
        <v>30</v>
      </c>
      <c r="Q510" t="s">
        <v>21</v>
      </c>
      <c r="R510" t="s">
        <v>47</v>
      </c>
    </row>
    <row r="511" spans="1:18" x14ac:dyDescent="0.35">
      <c r="A511">
        <v>1069</v>
      </c>
      <c r="B511" s="1">
        <v>45006</v>
      </c>
      <c r="C511" s="1" t="str">
        <f>TEXT(Sales[[#This Row],[Sale_Date]],"YYYY")</f>
        <v>2023</v>
      </c>
      <c r="D511" s="1" t="str">
        <f>TEXT(Sales[[#This Row],[Sale_Date]],"MMMM")</f>
        <v>March</v>
      </c>
      <c r="E511" s="1" t="str">
        <f>TEXT(Sales[[#This Row],[Sale_Date]],"DDDD")</f>
        <v>Tuesday</v>
      </c>
      <c r="F511" t="s">
        <v>13</v>
      </c>
      <c r="G511" t="s">
        <v>33</v>
      </c>
      <c r="H511" s="2">
        <v>9369.18</v>
      </c>
      <c r="I511">
        <v>29</v>
      </c>
      <c r="J511" t="s">
        <v>15</v>
      </c>
      <c r="K511" s="2">
        <v>2462.66</v>
      </c>
      <c r="L511" s="2">
        <v>2908.0899999999901</v>
      </c>
      <c r="M511" t="s">
        <v>29</v>
      </c>
      <c r="N511">
        <v>0.12</v>
      </c>
      <c r="O511" s="2">
        <f>(Sales[[#This Row],[Unit_Price]]-Sales[[#This Row],[Discount]]*Sales[[#This Row],[Unit_Price]])</f>
        <v>2559.1191999999915</v>
      </c>
      <c r="P511" t="s">
        <v>30</v>
      </c>
      <c r="Q511" t="s">
        <v>18</v>
      </c>
      <c r="R511" t="s">
        <v>45</v>
      </c>
    </row>
    <row r="512" spans="1:18" x14ac:dyDescent="0.35">
      <c r="A512">
        <v>1047</v>
      </c>
      <c r="B512" s="1">
        <v>45142</v>
      </c>
      <c r="C512" s="1" t="str">
        <f>TEXT(Sales[[#This Row],[Sale_Date]],"YYYY")</f>
        <v>2023</v>
      </c>
      <c r="D512" s="1" t="str">
        <f>TEXT(Sales[[#This Row],[Sale_Date]],"MMMM")</f>
        <v>August</v>
      </c>
      <c r="E512" s="1" t="str">
        <f>TEXT(Sales[[#This Row],[Sale_Date]],"DDDD")</f>
        <v>Friday</v>
      </c>
      <c r="F512" t="s">
        <v>37</v>
      </c>
      <c r="G512" t="s">
        <v>24</v>
      </c>
      <c r="H512" s="2">
        <v>733.66</v>
      </c>
      <c r="I512">
        <v>47</v>
      </c>
      <c r="J512" t="s">
        <v>28</v>
      </c>
      <c r="K512" s="2">
        <v>4729.59</v>
      </c>
      <c r="L512" s="2">
        <v>4976.68</v>
      </c>
      <c r="M512" t="s">
        <v>16</v>
      </c>
      <c r="N512">
        <v>0.18</v>
      </c>
      <c r="O512" s="2">
        <f>(Sales[[#This Row],[Unit_Price]]-Sales[[#This Row],[Discount]]*Sales[[#This Row],[Unit_Price]])</f>
        <v>4080.8776000000003</v>
      </c>
      <c r="P512" t="s">
        <v>30</v>
      </c>
      <c r="Q512" t="s">
        <v>21</v>
      </c>
      <c r="R512" t="s">
        <v>38</v>
      </c>
    </row>
    <row r="513" spans="1:18" x14ac:dyDescent="0.35">
      <c r="A513">
        <v>1094</v>
      </c>
      <c r="B513" s="1">
        <v>45265</v>
      </c>
      <c r="C513" s="1" t="str">
        <f>TEXT(Sales[[#This Row],[Sale_Date]],"YYYY")</f>
        <v>2023</v>
      </c>
      <c r="D513" s="1" t="str">
        <f>TEXT(Sales[[#This Row],[Sale_Date]],"MMMM")</f>
        <v>December</v>
      </c>
      <c r="E513" s="1" t="str">
        <f>TEXT(Sales[[#This Row],[Sale_Date]],"DDDD")</f>
        <v>Tuesday</v>
      </c>
      <c r="F513" t="s">
        <v>37</v>
      </c>
      <c r="G513" t="s">
        <v>33</v>
      </c>
      <c r="H513" s="2">
        <v>8264.9599999999991</v>
      </c>
      <c r="I513">
        <v>12</v>
      </c>
      <c r="J513" t="s">
        <v>15</v>
      </c>
      <c r="K513" s="2">
        <v>333.32</v>
      </c>
      <c r="L513" s="2">
        <v>700.25</v>
      </c>
      <c r="M513" t="s">
        <v>16</v>
      </c>
      <c r="N513">
        <v>0.14000000000000001</v>
      </c>
      <c r="O513" s="2">
        <f>(Sales[[#This Row],[Unit_Price]]-Sales[[#This Row],[Discount]]*Sales[[#This Row],[Unit_Price]])</f>
        <v>602.21500000000003</v>
      </c>
      <c r="P513" t="s">
        <v>17</v>
      </c>
      <c r="Q513" t="s">
        <v>18</v>
      </c>
      <c r="R513" t="s">
        <v>47</v>
      </c>
    </row>
    <row r="514" spans="1:18" x14ac:dyDescent="0.35">
      <c r="A514">
        <v>1062</v>
      </c>
      <c r="B514" s="1">
        <v>45190</v>
      </c>
      <c r="C514" s="1" t="str">
        <f>TEXT(Sales[[#This Row],[Sale_Date]],"YYYY")</f>
        <v>2023</v>
      </c>
      <c r="D514" s="1" t="str">
        <f>TEXT(Sales[[#This Row],[Sale_Date]],"MMMM")</f>
        <v>September</v>
      </c>
      <c r="E514" s="1" t="str">
        <f>TEXT(Sales[[#This Row],[Sale_Date]],"DDDD")</f>
        <v>Thursday</v>
      </c>
      <c r="F514" t="s">
        <v>23</v>
      </c>
      <c r="G514" t="s">
        <v>14</v>
      </c>
      <c r="H514" s="2">
        <v>2994.59</v>
      </c>
      <c r="I514">
        <v>37</v>
      </c>
      <c r="J514" t="s">
        <v>34</v>
      </c>
      <c r="K514" s="2">
        <v>4658.4399999999996</v>
      </c>
      <c r="L514" s="2">
        <v>4823.5</v>
      </c>
      <c r="M514" t="s">
        <v>16</v>
      </c>
      <c r="N514">
        <v>0.14000000000000001</v>
      </c>
      <c r="O514" s="2">
        <f>(Sales[[#This Row],[Unit_Price]]-Sales[[#This Row],[Discount]]*Sales[[#This Row],[Unit_Price]])</f>
        <v>4148.21</v>
      </c>
      <c r="P514" t="s">
        <v>30</v>
      </c>
      <c r="Q514" t="s">
        <v>18</v>
      </c>
      <c r="R514" t="s">
        <v>44</v>
      </c>
    </row>
    <row r="515" spans="1:18" x14ac:dyDescent="0.35">
      <c r="A515">
        <v>1069</v>
      </c>
      <c r="B515" s="1">
        <v>45075</v>
      </c>
      <c r="C515" s="1" t="str">
        <f>TEXT(Sales[[#This Row],[Sale_Date]],"YYYY")</f>
        <v>2023</v>
      </c>
      <c r="D515" s="1" t="str">
        <f>TEXT(Sales[[#This Row],[Sale_Date]],"MMMM")</f>
        <v>May</v>
      </c>
      <c r="E515" s="1" t="str">
        <f>TEXT(Sales[[#This Row],[Sale_Date]],"DDDD")</f>
        <v>Monday</v>
      </c>
      <c r="F515" t="s">
        <v>41</v>
      </c>
      <c r="G515" t="s">
        <v>14</v>
      </c>
      <c r="H515" s="2">
        <v>4494.8</v>
      </c>
      <c r="I515">
        <v>30</v>
      </c>
      <c r="J515" t="s">
        <v>34</v>
      </c>
      <c r="K515" s="2">
        <v>300.01</v>
      </c>
      <c r="L515" s="2">
        <v>477.67999999999898</v>
      </c>
      <c r="M515" t="s">
        <v>29</v>
      </c>
      <c r="N515">
        <v>0.11</v>
      </c>
      <c r="O515" s="2">
        <f>(Sales[[#This Row],[Unit_Price]]-Sales[[#This Row],[Discount]]*Sales[[#This Row],[Unit_Price]])</f>
        <v>425.13519999999909</v>
      </c>
      <c r="P515" t="s">
        <v>26</v>
      </c>
      <c r="Q515" t="s">
        <v>21</v>
      </c>
      <c r="R515" t="s">
        <v>48</v>
      </c>
    </row>
    <row r="516" spans="1:18" x14ac:dyDescent="0.35">
      <c r="A516">
        <v>1076</v>
      </c>
      <c r="B516" s="1">
        <v>45007</v>
      </c>
      <c r="C516" s="1" t="str">
        <f>TEXT(Sales[[#This Row],[Sale_Date]],"YYYY")</f>
        <v>2023</v>
      </c>
      <c r="D516" s="1" t="str">
        <f>TEXT(Sales[[#This Row],[Sale_Date]],"MMMM")</f>
        <v>March</v>
      </c>
      <c r="E516" s="1" t="str">
        <f>TEXT(Sales[[#This Row],[Sale_Date]],"DDDD")</f>
        <v>Wednesday</v>
      </c>
      <c r="F516" t="s">
        <v>32</v>
      </c>
      <c r="G516" t="s">
        <v>24</v>
      </c>
      <c r="H516" s="2">
        <v>316.94</v>
      </c>
      <c r="I516">
        <v>23</v>
      </c>
      <c r="J516" t="s">
        <v>25</v>
      </c>
      <c r="K516" s="2">
        <v>2759.16</v>
      </c>
      <c r="L516" s="2">
        <v>2864.45</v>
      </c>
      <c r="M516" t="s">
        <v>16</v>
      </c>
      <c r="N516">
        <v>0.18</v>
      </c>
      <c r="O516" s="2">
        <f>(Sales[[#This Row],[Unit_Price]]-Sales[[#This Row],[Discount]]*Sales[[#This Row],[Unit_Price]])</f>
        <v>2348.8489999999997</v>
      </c>
      <c r="P516" t="s">
        <v>30</v>
      </c>
      <c r="Q516" t="s">
        <v>21</v>
      </c>
      <c r="R516" t="s">
        <v>43</v>
      </c>
    </row>
    <row r="517" spans="1:18" x14ac:dyDescent="0.35">
      <c r="A517">
        <v>1016</v>
      </c>
      <c r="B517" s="1">
        <v>45141</v>
      </c>
      <c r="C517" s="1" t="str">
        <f>TEXT(Sales[[#This Row],[Sale_Date]],"YYYY")</f>
        <v>2023</v>
      </c>
      <c r="D517" s="1" t="str">
        <f>TEXT(Sales[[#This Row],[Sale_Date]],"MMMM")</f>
        <v>August</v>
      </c>
      <c r="E517" s="1" t="str">
        <f>TEXT(Sales[[#This Row],[Sale_Date]],"DDDD")</f>
        <v>Thursday</v>
      </c>
      <c r="F517" t="s">
        <v>41</v>
      </c>
      <c r="G517" t="s">
        <v>20</v>
      </c>
      <c r="H517" s="2">
        <v>3080.36</v>
      </c>
      <c r="I517">
        <v>16</v>
      </c>
      <c r="J517" t="s">
        <v>15</v>
      </c>
      <c r="K517" s="2">
        <v>4457.68</v>
      </c>
      <c r="L517" s="2">
        <v>4743.03</v>
      </c>
      <c r="M517" t="s">
        <v>16</v>
      </c>
      <c r="N517">
        <v>0.19</v>
      </c>
      <c r="O517" s="2">
        <f>(Sales[[#This Row],[Unit_Price]]-Sales[[#This Row],[Discount]]*Sales[[#This Row],[Unit_Price]])</f>
        <v>3841.8543</v>
      </c>
      <c r="P517" t="s">
        <v>17</v>
      </c>
      <c r="Q517" t="s">
        <v>18</v>
      </c>
      <c r="R517" t="s">
        <v>50</v>
      </c>
    </row>
    <row r="518" spans="1:18" x14ac:dyDescent="0.35">
      <c r="A518">
        <v>1090</v>
      </c>
      <c r="B518" s="1">
        <v>45124</v>
      </c>
      <c r="C518" s="1" t="str">
        <f>TEXT(Sales[[#This Row],[Sale_Date]],"YYYY")</f>
        <v>2023</v>
      </c>
      <c r="D518" s="1" t="str">
        <f>TEXT(Sales[[#This Row],[Sale_Date]],"MMMM")</f>
        <v>July</v>
      </c>
      <c r="E518" s="1" t="str">
        <f>TEXT(Sales[[#This Row],[Sale_Date]],"DDDD")</f>
        <v>Monday</v>
      </c>
      <c r="F518" t="s">
        <v>23</v>
      </c>
      <c r="G518" t="s">
        <v>14</v>
      </c>
      <c r="H518" s="2">
        <v>5076.05</v>
      </c>
      <c r="I518">
        <v>14</v>
      </c>
      <c r="J518" t="s">
        <v>34</v>
      </c>
      <c r="K518" s="2">
        <v>1350.47</v>
      </c>
      <c r="L518" s="2">
        <v>1514.61</v>
      </c>
      <c r="M518" t="s">
        <v>29</v>
      </c>
      <c r="N518">
        <v>0.2</v>
      </c>
      <c r="O518" s="2">
        <f>(Sales[[#This Row],[Unit_Price]]-Sales[[#This Row],[Discount]]*Sales[[#This Row],[Unit_Price]])</f>
        <v>1211.6879999999999</v>
      </c>
      <c r="P518" t="s">
        <v>30</v>
      </c>
      <c r="Q518" t="s">
        <v>21</v>
      </c>
      <c r="R518" t="s">
        <v>44</v>
      </c>
    </row>
    <row r="519" spans="1:18" x14ac:dyDescent="0.35">
      <c r="A519">
        <v>1090</v>
      </c>
      <c r="B519" s="1">
        <v>45126</v>
      </c>
      <c r="C519" s="1" t="str">
        <f>TEXT(Sales[[#This Row],[Sale_Date]],"YYYY")</f>
        <v>2023</v>
      </c>
      <c r="D519" s="1" t="str">
        <f>TEXT(Sales[[#This Row],[Sale_Date]],"MMMM")</f>
        <v>July</v>
      </c>
      <c r="E519" s="1" t="str">
        <f>TEXT(Sales[[#This Row],[Sale_Date]],"DDDD")</f>
        <v>Wednesday</v>
      </c>
      <c r="F519" t="s">
        <v>32</v>
      </c>
      <c r="G519" t="s">
        <v>20</v>
      </c>
      <c r="H519" s="2">
        <v>656.14</v>
      </c>
      <c r="I519">
        <v>10</v>
      </c>
      <c r="J519" t="s">
        <v>15</v>
      </c>
      <c r="K519" s="2">
        <v>2387.63</v>
      </c>
      <c r="L519" s="2">
        <v>2438.9699999999998</v>
      </c>
      <c r="M519" t="s">
        <v>16</v>
      </c>
      <c r="N519">
        <v>0.02</v>
      </c>
      <c r="O519" s="2">
        <f>(Sales[[#This Row],[Unit_Price]]-Sales[[#This Row],[Discount]]*Sales[[#This Row],[Unit_Price]])</f>
        <v>2390.1905999999999</v>
      </c>
      <c r="P519" t="s">
        <v>26</v>
      </c>
      <c r="Q519" t="s">
        <v>21</v>
      </c>
      <c r="R519" t="s">
        <v>36</v>
      </c>
    </row>
    <row r="520" spans="1:18" x14ac:dyDescent="0.35">
      <c r="A520">
        <v>1048</v>
      </c>
      <c r="B520" s="1">
        <v>44951</v>
      </c>
      <c r="C520" s="1" t="str">
        <f>TEXT(Sales[[#This Row],[Sale_Date]],"YYYY")</f>
        <v>2023</v>
      </c>
      <c r="D520" s="1" t="str">
        <f>TEXT(Sales[[#This Row],[Sale_Date]],"MMMM")</f>
        <v>January</v>
      </c>
      <c r="E520" s="1" t="str">
        <f>TEXT(Sales[[#This Row],[Sale_Date]],"DDDD")</f>
        <v>Wednesday</v>
      </c>
      <c r="F520" t="s">
        <v>37</v>
      </c>
      <c r="G520" t="s">
        <v>24</v>
      </c>
      <c r="H520" s="2">
        <v>4961.8500000000004</v>
      </c>
      <c r="I520">
        <v>7</v>
      </c>
      <c r="J520" t="s">
        <v>34</v>
      </c>
      <c r="K520" s="2">
        <v>1655.43</v>
      </c>
      <c r="L520" s="2">
        <v>2001.08</v>
      </c>
      <c r="M520" t="s">
        <v>29</v>
      </c>
      <c r="N520">
        <v>0.19</v>
      </c>
      <c r="O520" s="2">
        <f>(Sales[[#This Row],[Unit_Price]]-Sales[[#This Row],[Discount]]*Sales[[#This Row],[Unit_Price]])</f>
        <v>1620.8748000000001</v>
      </c>
      <c r="P520" t="s">
        <v>26</v>
      </c>
      <c r="Q520" t="s">
        <v>18</v>
      </c>
      <c r="R520" t="s">
        <v>38</v>
      </c>
    </row>
    <row r="521" spans="1:18" x14ac:dyDescent="0.35">
      <c r="A521">
        <v>1085</v>
      </c>
      <c r="B521" s="1">
        <v>45015</v>
      </c>
      <c r="C521" s="1" t="str">
        <f>TEXT(Sales[[#This Row],[Sale_Date]],"YYYY")</f>
        <v>2023</v>
      </c>
      <c r="D521" s="1" t="str">
        <f>TEXT(Sales[[#This Row],[Sale_Date]],"MMMM")</f>
        <v>March</v>
      </c>
      <c r="E521" s="1" t="str">
        <f>TEXT(Sales[[#This Row],[Sale_Date]],"DDDD")</f>
        <v>Thursday</v>
      </c>
      <c r="F521" t="s">
        <v>23</v>
      </c>
      <c r="G521" t="s">
        <v>20</v>
      </c>
      <c r="H521" s="2">
        <v>9278.4</v>
      </c>
      <c r="I521">
        <v>45</v>
      </c>
      <c r="J521" t="s">
        <v>28</v>
      </c>
      <c r="K521" s="2">
        <v>4763.1099999999997</v>
      </c>
      <c r="L521" s="2">
        <v>5119.91</v>
      </c>
      <c r="M521" t="s">
        <v>16</v>
      </c>
      <c r="N521">
        <v>0.28999999999999998</v>
      </c>
      <c r="O521" s="2">
        <f>(Sales[[#This Row],[Unit_Price]]-Sales[[#This Row],[Discount]]*Sales[[#This Row],[Unit_Price]])</f>
        <v>3635.1360999999997</v>
      </c>
      <c r="P521" t="s">
        <v>17</v>
      </c>
      <c r="Q521" t="s">
        <v>21</v>
      </c>
      <c r="R521" t="s">
        <v>46</v>
      </c>
    </row>
    <row r="522" spans="1:18" x14ac:dyDescent="0.35">
      <c r="A522">
        <v>1039</v>
      </c>
      <c r="B522" s="1">
        <v>45194</v>
      </c>
      <c r="C522" s="1" t="str">
        <f>TEXT(Sales[[#This Row],[Sale_Date]],"YYYY")</f>
        <v>2023</v>
      </c>
      <c r="D522" s="1" t="str">
        <f>TEXT(Sales[[#This Row],[Sale_Date]],"MMMM")</f>
        <v>September</v>
      </c>
      <c r="E522" s="1" t="str">
        <f>TEXT(Sales[[#This Row],[Sale_Date]],"DDDD")</f>
        <v>Monday</v>
      </c>
      <c r="F522" t="s">
        <v>37</v>
      </c>
      <c r="G522" t="s">
        <v>20</v>
      </c>
      <c r="H522" s="2">
        <v>1143.3900000000001</v>
      </c>
      <c r="I522">
        <v>37</v>
      </c>
      <c r="J522" t="s">
        <v>34</v>
      </c>
      <c r="K522" s="2">
        <v>4127.05</v>
      </c>
      <c r="L522" s="2">
        <v>4313.45</v>
      </c>
      <c r="M522" t="s">
        <v>29</v>
      </c>
      <c r="N522">
        <v>0.16</v>
      </c>
      <c r="O522" s="2">
        <f>(Sales[[#This Row],[Unit_Price]]-Sales[[#This Row],[Discount]]*Sales[[#This Row],[Unit_Price]])</f>
        <v>3623.2979999999998</v>
      </c>
      <c r="P522" t="s">
        <v>17</v>
      </c>
      <c r="Q522" t="s">
        <v>18</v>
      </c>
      <c r="R522" t="s">
        <v>40</v>
      </c>
    </row>
    <row r="523" spans="1:18" x14ac:dyDescent="0.35">
      <c r="A523">
        <v>1100</v>
      </c>
      <c r="B523" s="1">
        <v>45069</v>
      </c>
      <c r="C523" s="1" t="str">
        <f>TEXT(Sales[[#This Row],[Sale_Date]],"YYYY")</f>
        <v>2023</v>
      </c>
      <c r="D523" s="1" t="str">
        <f>TEXT(Sales[[#This Row],[Sale_Date]],"MMMM")</f>
        <v>May</v>
      </c>
      <c r="E523" s="1" t="str">
        <f>TEXT(Sales[[#This Row],[Sale_Date]],"DDDD")</f>
        <v>Tuesday</v>
      </c>
      <c r="F523" t="s">
        <v>13</v>
      </c>
      <c r="G523" t="s">
        <v>20</v>
      </c>
      <c r="H523" s="2">
        <v>7667.96</v>
      </c>
      <c r="I523">
        <v>29</v>
      </c>
      <c r="J523" t="s">
        <v>25</v>
      </c>
      <c r="K523" s="2">
        <v>3559.56</v>
      </c>
      <c r="L523" s="2">
        <v>3607.15</v>
      </c>
      <c r="M523" t="s">
        <v>16</v>
      </c>
      <c r="N523">
        <v>0.21</v>
      </c>
      <c r="O523" s="2">
        <f>(Sales[[#This Row],[Unit_Price]]-Sales[[#This Row],[Discount]]*Sales[[#This Row],[Unit_Price]])</f>
        <v>2849.6485000000002</v>
      </c>
      <c r="P523" t="s">
        <v>17</v>
      </c>
      <c r="Q523" t="s">
        <v>21</v>
      </c>
      <c r="R523" t="s">
        <v>22</v>
      </c>
    </row>
    <row r="524" spans="1:18" x14ac:dyDescent="0.35">
      <c r="A524">
        <v>1033</v>
      </c>
      <c r="B524" s="1">
        <v>44985</v>
      </c>
      <c r="C524" s="1" t="str">
        <f>TEXT(Sales[[#This Row],[Sale_Date]],"YYYY")</f>
        <v>2023</v>
      </c>
      <c r="D524" s="1" t="str">
        <f>TEXT(Sales[[#This Row],[Sale_Date]],"MMMM")</f>
        <v>February</v>
      </c>
      <c r="E524" s="1" t="str">
        <f>TEXT(Sales[[#This Row],[Sale_Date]],"DDDD")</f>
        <v>Tuesday</v>
      </c>
      <c r="F524" t="s">
        <v>23</v>
      </c>
      <c r="G524" t="s">
        <v>20</v>
      </c>
      <c r="H524" s="2">
        <v>4155.74</v>
      </c>
      <c r="I524">
        <v>3</v>
      </c>
      <c r="J524" t="s">
        <v>28</v>
      </c>
      <c r="K524" s="2">
        <v>2958.75</v>
      </c>
      <c r="L524" s="2">
        <v>3177.64</v>
      </c>
      <c r="M524" t="s">
        <v>16</v>
      </c>
      <c r="N524">
        <v>0.17</v>
      </c>
      <c r="O524" s="2">
        <f>(Sales[[#This Row],[Unit_Price]]-Sales[[#This Row],[Discount]]*Sales[[#This Row],[Unit_Price]])</f>
        <v>2637.4411999999998</v>
      </c>
      <c r="P524" t="s">
        <v>17</v>
      </c>
      <c r="Q524" t="s">
        <v>18</v>
      </c>
      <c r="R524" t="s">
        <v>46</v>
      </c>
    </row>
    <row r="525" spans="1:18" x14ac:dyDescent="0.35">
      <c r="A525">
        <v>1094</v>
      </c>
      <c r="B525" s="1">
        <v>45291</v>
      </c>
      <c r="C525" s="1" t="str">
        <f>TEXT(Sales[[#This Row],[Sale_Date]],"YYYY")</f>
        <v>2023</v>
      </c>
      <c r="D525" s="1" t="str">
        <f>TEXT(Sales[[#This Row],[Sale_Date]],"MMMM")</f>
        <v>December</v>
      </c>
      <c r="E525" s="1" t="str">
        <f>TEXT(Sales[[#This Row],[Sale_Date]],"DDDD")</f>
        <v>Sunday</v>
      </c>
      <c r="F525" t="s">
        <v>13</v>
      </c>
      <c r="G525" t="s">
        <v>24</v>
      </c>
      <c r="H525" s="2">
        <v>6586.22</v>
      </c>
      <c r="I525">
        <v>15</v>
      </c>
      <c r="J525" t="s">
        <v>25</v>
      </c>
      <c r="K525" s="2">
        <v>4111.93</v>
      </c>
      <c r="L525" s="2">
        <v>4338.67</v>
      </c>
      <c r="M525" t="s">
        <v>16</v>
      </c>
      <c r="N525">
        <v>0.26</v>
      </c>
      <c r="O525" s="2">
        <f>(Sales[[#This Row],[Unit_Price]]-Sales[[#This Row],[Discount]]*Sales[[#This Row],[Unit_Price]])</f>
        <v>3210.6158</v>
      </c>
      <c r="P525" t="s">
        <v>30</v>
      </c>
      <c r="Q525" t="s">
        <v>18</v>
      </c>
      <c r="R525" t="s">
        <v>31</v>
      </c>
    </row>
    <row r="526" spans="1:18" x14ac:dyDescent="0.35">
      <c r="A526">
        <v>1023</v>
      </c>
      <c r="B526" s="1">
        <v>44952</v>
      </c>
      <c r="C526" s="1" t="str">
        <f>TEXT(Sales[[#This Row],[Sale_Date]],"YYYY")</f>
        <v>2023</v>
      </c>
      <c r="D526" s="1" t="str">
        <f>TEXT(Sales[[#This Row],[Sale_Date]],"MMMM")</f>
        <v>January</v>
      </c>
      <c r="E526" s="1" t="str">
        <f>TEXT(Sales[[#This Row],[Sale_Date]],"DDDD")</f>
        <v>Thursday</v>
      </c>
      <c r="F526" t="s">
        <v>23</v>
      </c>
      <c r="G526" t="s">
        <v>14</v>
      </c>
      <c r="H526" s="2">
        <v>2676.34</v>
      </c>
      <c r="I526">
        <v>36</v>
      </c>
      <c r="J526" t="s">
        <v>28</v>
      </c>
      <c r="K526" s="2">
        <v>1991.72</v>
      </c>
      <c r="L526" s="2">
        <v>2329.37</v>
      </c>
      <c r="M526" t="s">
        <v>29</v>
      </c>
      <c r="N526">
        <v>0.28000000000000003</v>
      </c>
      <c r="O526" s="2">
        <f>(Sales[[#This Row],[Unit_Price]]-Sales[[#This Row],[Discount]]*Sales[[#This Row],[Unit_Price]])</f>
        <v>1677.1463999999999</v>
      </c>
      <c r="P526" t="s">
        <v>30</v>
      </c>
      <c r="Q526" t="s">
        <v>21</v>
      </c>
      <c r="R526" t="s">
        <v>44</v>
      </c>
    </row>
    <row r="527" spans="1:18" x14ac:dyDescent="0.35">
      <c r="A527">
        <v>1010</v>
      </c>
      <c r="B527" s="1">
        <v>44973</v>
      </c>
      <c r="C527" s="1" t="str">
        <f>TEXT(Sales[[#This Row],[Sale_Date]],"YYYY")</f>
        <v>2023</v>
      </c>
      <c r="D527" s="1" t="str">
        <f>TEXT(Sales[[#This Row],[Sale_Date]],"MMMM")</f>
        <v>February</v>
      </c>
      <c r="E527" s="1" t="str">
        <f>TEXT(Sales[[#This Row],[Sale_Date]],"DDDD")</f>
        <v>Thursday</v>
      </c>
      <c r="F527" t="s">
        <v>23</v>
      </c>
      <c r="G527" t="s">
        <v>33</v>
      </c>
      <c r="H527" s="2">
        <v>1678.97</v>
      </c>
      <c r="I527">
        <v>47</v>
      </c>
      <c r="J527" t="s">
        <v>15</v>
      </c>
      <c r="K527" s="2">
        <v>2265.38</v>
      </c>
      <c r="L527" s="2">
        <v>2429.9299999999998</v>
      </c>
      <c r="M527" t="s">
        <v>16</v>
      </c>
      <c r="N527">
        <v>0.06</v>
      </c>
      <c r="O527" s="2">
        <f>(Sales[[#This Row],[Unit_Price]]-Sales[[#This Row],[Discount]]*Sales[[#This Row],[Unit_Price]])</f>
        <v>2284.1342</v>
      </c>
      <c r="P527" t="s">
        <v>26</v>
      </c>
      <c r="Q527" t="s">
        <v>18</v>
      </c>
      <c r="R527" t="s">
        <v>49</v>
      </c>
    </row>
    <row r="528" spans="1:18" x14ac:dyDescent="0.35">
      <c r="A528">
        <v>1069</v>
      </c>
      <c r="B528" s="1">
        <v>45214</v>
      </c>
      <c r="C528" s="1" t="str">
        <f>TEXT(Sales[[#This Row],[Sale_Date]],"YYYY")</f>
        <v>2023</v>
      </c>
      <c r="D528" s="1" t="str">
        <f>TEXT(Sales[[#This Row],[Sale_Date]],"MMMM")</f>
        <v>October</v>
      </c>
      <c r="E528" s="1" t="str">
        <f>TEXT(Sales[[#This Row],[Sale_Date]],"DDDD")</f>
        <v>Sunday</v>
      </c>
      <c r="F528" t="s">
        <v>13</v>
      </c>
      <c r="G528" t="s">
        <v>20</v>
      </c>
      <c r="H528" s="2">
        <v>1688.58</v>
      </c>
      <c r="I528">
        <v>46</v>
      </c>
      <c r="J528" t="s">
        <v>25</v>
      </c>
      <c r="K528" s="2">
        <v>3663.51</v>
      </c>
      <c r="L528" s="2">
        <v>4007.98</v>
      </c>
      <c r="M528" t="s">
        <v>29</v>
      </c>
      <c r="N528">
        <v>0.13</v>
      </c>
      <c r="O528" s="2">
        <f>(Sales[[#This Row],[Unit_Price]]-Sales[[#This Row],[Discount]]*Sales[[#This Row],[Unit_Price]])</f>
        <v>3486.9425999999999</v>
      </c>
      <c r="P528" t="s">
        <v>17</v>
      </c>
      <c r="Q528" t="s">
        <v>18</v>
      </c>
      <c r="R528" t="s">
        <v>22</v>
      </c>
    </row>
    <row r="529" spans="1:18" x14ac:dyDescent="0.35">
      <c r="A529">
        <v>1100</v>
      </c>
      <c r="B529" s="1">
        <v>45192</v>
      </c>
      <c r="C529" s="1" t="str">
        <f>TEXT(Sales[[#This Row],[Sale_Date]],"YYYY")</f>
        <v>2023</v>
      </c>
      <c r="D529" s="1" t="str">
        <f>TEXT(Sales[[#This Row],[Sale_Date]],"MMMM")</f>
        <v>September</v>
      </c>
      <c r="E529" s="1" t="str">
        <f>TEXT(Sales[[#This Row],[Sale_Date]],"DDDD")</f>
        <v>Saturday</v>
      </c>
      <c r="F529" t="s">
        <v>32</v>
      </c>
      <c r="G529" t="s">
        <v>14</v>
      </c>
      <c r="H529" s="2">
        <v>797.87</v>
      </c>
      <c r="I529">
        <v>19</v>
      </c>
      <c r="J529" t="s">
        <v>34</v>
      </c>
      <c r="K529" s="2">
        <v>1820.89</v>
      </c>
      <c r="L529" s="2">
        <v>2257.92</v>
      </c>
      <c r="M529" t="s">
        <v>29</v>
      </c>
      <c r="N529">
        <v>0.12</v>
      </c>
      <c r="O529" s="2">
        <f>(Sales[[#This Row],[Unit_Price]]-Sales[[#This Row],[Discount]]*Sales[[#This Row],[Unit_Price]])</f>
        <v>1986.9696000000001</v>
      </c>
      <c r="P529" t="s">
        <v>17</v>
      </c>
      <c r="Q529" t="s">
        <v>21</v>
      </c>
      <c r="R529" t="s">
        <v>52</v>
      </c>
    </row>
    <row r="530" spans="1:18" x14ac:dyDescent="0.35">
      <c r="A530">
        <v>1034</v>
      </c>
      <c r="B530" s="1">
        <v>44942</v>
      </c>
      <c r="C530" s="1" t="str">
        <f>TEXT(Sales[[#This Row],[Sale_Date]],"YYYY")</f>
        <v>2023</v>
      </c>
      <c r="D530" s="1" t="str">
        <f>TEXT(Sales[[#This Row],[Sale_Date]],"MMMM")</f>
        <v>January</v>
      </c>
      <c r="E530" s="1" t="str">
        <f>TEXT(Sales[[#This Row],[Sale_Date]],"DDDD")</f>
        <v>Monday</v>
      </c>
      <c r="F530" t="s">
        <v>41</v>
      </c>
      <c r="G530" t="s">
        <v>14</v>
      </c>
      <c r="H530" s="2">
        <v>1937.9</v>
      </c>
      <c r="I530">
        <v>13</v>
      </c>
      <c r="J530" t="s">
        <v>15</v>
      </c>
      <c r="K530" s="2">
        <v>366.31</v>
      </c>
      <c r="L530" s="2">
        <v>492.68</v>
      </c>
      <c r="M530" t="s">
        <v>29</v>
      </c>
      <c r="N530">
        <v>0.12</v>
      </c>
      <c r="O530" s="2">
        <f>(Sales[[#This Row],[Unit_Price]]-Sales[[#This Row],[Discount]]*Sales[[#This Row],[Unit_Price]])</f>
        <v>433.55840000000001</v>
      </c>
      <c r="P530" t="s">
        <v>30</v>
      </c>
      <c r="Q530" t="s">
        <v>21</v>
      </c>
      <c r="R530" t="s">
        <v>48</v>
      </c>
    </row>
    <row r="531" spans="1:18" x14ac:dyDescent="0.35">
      <c r="A531">
        <v>1052</v>
      </c>
      <c r="B531" s="1">
        <v>45125</v>
      </c>
      <c r="C531" s="1" t="str">
        <f>TEXT(Sales[[#This Row],[Sale_Date]],"YYYY")</f>
        <v>2023</v>
      </c>
      <c r="D531" s="1" t="str">
        <f>TEXT(Sales[[#This Row],[Sale_Date]],"MMMM")</f>
        <v>July</v>
      </c>
      <c r="E531" s="1" t="str">
        <f>TEXT(Sales[[#This Row],[Sale_Date]],"DDDD")</f>
        <v>Tuesday</v>
      </c>
      <c r="F531" t="s">
        <v>37</v>
      </c>
      <c r="G531" t="s">
        <v>24</v>
      </c>
      <c r="H531" s="2">
        <v>6675.77</v>
      </c>
      <c r="I531">
        <v>42</v>
      </c>
      <c r="J531" t="s">
        <v>34</v>
      </c>
      <c r="K531" s="2">
        <v>417.96</v>
      </c>
      <c r="L531" s="2">
        <v>907.63</v>
      </c>
      <c r="M531" t="s">
        <v>29</v>
      </c>
      <c r="N531">
        <v>0.04</v>
      </c>
      <c r="O531" s="2">
        <f>(Sales[[#This Row],[Unit_Price]]-Sales[[#This Row],[Discount]]*Sales[[#This Row],[Unit_Price]])</f>
        <v>871.32479999999998</v>
      </c>
      <c r="P531" t="s">
        <v>17</v>
      </c>
      <c r="Q531" t="s">
        <v>21</v>
      </c>
      <c r="R531" t="s">
        <v>38</v>
      </c>
    </row>
    <row r="532" spans="1:18" x14ac:dyDescent="0.35">
      <c r="A532">
        <v>1095</v>
      </c>
      <c r="B532" s="1">
        <v>45208</v>
      </c>
      <c r="C532" s="1" t="str">
        <f>TEXT(Sales[[#This Row],[Sale_Date]],"YYYY")</f>
        <v>2023</v>
      </c>
      <c r="D532" s="1" t="str">
        <f>TEXT(Sales[[#This Row],[Sale_Date]],"MMMM")</f>
        <v>October</v>
      </c>
      <c r="E532" s="1" t="str">
        <f>TEXT(Sales[[#This Row],[Sale_Date]],"DDDD")</f>
        <v>Monday</v>
      </c>
      <c r="F532" t="s">
        <v>23</v>
      </c>
      <c r="G532" t="s">
        <v>14</v>
      </c>
      <c r="H532" s="2">
        <v>8828.74</v>
      </c>
      <c r="I532">
        <v>21</v>
      </c>
      <c r="J532" t="s">
        <v>28</v>
      </c>
      <c r="K532" s="2">
        <v>621.04999999999995</v>
      </c>
      <c r="L532" s="2">
        <v>820.36999999999898</v>
      </c>
      <c r="M532" t="s">
        <v>16</v>
      </c>
      <c r="N532">
        <v>0.24</v>
      </c>
      <c r="O532" s="2">
        <f>(Sales[[#This Row],[Unit_Price]]-Sales[[#This Row],[Discount]]*Sales[[#This Row],[Unit_Price]])</f>
        <v>623.48119999999926</v>
      </c>
      <c r="P532" t="s">
        <v>26</v>
      </c>
      <c r="Q532" t="s">
        <v>18</v>
      </c>
      <c r="R532" t="s">
        <v>44</v>
      </c>
    </row>
    <row r="533" spans="1:18" x14ac:dyDescent="0.35">
      <c r="A533">
        <v>1010</v>
      </c>
      <c r="B533" s="1">
        <v>45012</v>
      </c>
      <c r="C533" s="1" t="str">
        <f>TEXT(Sales[[#This Row],[Sale_Date]],"YYYY")</f>
        <v>2023</v>
      </c>
      <c r="D533" s="1" t="str">
        <f>TEXT(Sales[[#This Row],[Sale_Date]],"MMMM")</f>
        <v>March</v>
      </c>
      <c r="E533" s="1" t="str">
        <f>TEXT(Sales[[#This Row],[Sale_Date]],"DDDD")</f>
        <v>Monday</v>
      </c>
      <c r="F533" t="s">
        <v>37</v>
      </c>
      <c r="G533" t="s">
        <v>24</v>
      </c>
      <c r="H533" s="2">
        <v>8159.84</v>
      </c>
      <c r="I533">
        <v>37</v>
      </c>
      <c r="J533" t="s">
        <v>28</v>
      </c>
      <c r="K533" s="2">
        <v>4354.92</v>
      </c>
      <c r="L533" s="2">
        <v>4495.88</v>
      </c>
      <c r="M533" t="s">
        <v>16</v>
      </c>
      <c r="N533">
        <v>0.01</v>
      </c>
      <c r="O533" s="2">
        <f>(Sales[[#This Row],[Unit_Price]]-Sales[[#This Row],[Discount]]*Sales[[#This Row],[Unit_Price]])</f>
        <v>4450.9211999999998</v>
      </c>
      <c r="P533" t="s">
        <v>26</v>
      </c>
      <c r="Q533" t="s">
        <v>18</v>
      </c>
      <c r="R533" t="s">
        <v>38</v>
      </c>
    </row>
    <row r="534" spans="1:18" x14ac:dyDescent="0.35">
      <c r="A534">
        <v>1019</v>
      </c>
      <c r="B534" s="1">
        <v>45176</v>
      </c>
      <c r="C534" s="1" t="str">
        <f>TEXT(Sales[[#This Row],[Sale_Date]],"YYYY")</f>
        <v>2023</v>
      </c>
      <c r="D534" s="1" t="str">
        <f>TEXT(Sales[[#This Row],[Sale_Date]],"MMMM")</f>
        <v>September</v>
      </c>
      <c r="E534" s="1" t="str">
        <f>TEXT(Sales[[#This Row],[Sale_Date]],"DDDD")</f>
        <v>Thursday</v>
      </c>
      <c r="F534" t="s">
        <v>13</v>
      </c>
      <c r="G534" t="s">
        <v>20</v>
      </c>
      <c r="H534" s="2">
        <v>6882.83</v>
      </c>
      <c r="I534">
        <v>27</v>
      </c>
      <c r="J534" t="s">
        <v>34</v>
      </c>
      <c r="K534" s="2">
        <v>2387.52</v>
      </c>
      <c r="L534" s="2">
        <v>2604.06</v>
      </c>
      <c r="M534" t="s">
        <v>16</v>
      </c>
      <c r="N534">
        <v>0.16</v>
      </c>
      <c r="O534" s="2">
        <f>(Sales[[#This Row],[Unit_Price]]-Sales[[#This Row],[Discount]]*Sales[[#This Row],[Unit_Price]])</f>
        <v>2187.4103999999998</v>
      </c>
      <c r="P534" t="s">
        <v>17</v>
      </c>
      <c r="Q534" t="s">
        <v>18</v>
      </c>
      <c r="R534" t="s">
        <v>22</v>
      </c>
    </row>
    <row r="535" spans="1:18" x14ac:dyDescent="0.35">
      <c r="A535">
        <v>1058</v>
      </c>
      <c r="B535" s="1">
        <v>45196</v>
      </c>
      <c r="C535" s="1" t="str">
        <f>TEXT(Sales[[#This Row],[Sale_Date]],"YYYY")</f>
        <v>2023</v>
      </c>
      <c r="D535" s="1" t="str">
        <f>TEXT(Sales[[#This Row],[Sale_Date]],"MMMM")</f>
        <v>September</v>
      </c>
      <c r="E535" s="1" t="str">
        <f>TEXT(Sales[[#This Row],[Sale_Date]],"DDDD")</f>
        <v>Wednesday</v>
      </c>
      <c r="F535" t="s">
        <v>37</v>
      </c>
      <c r="G535" t="s">
        <v>20</v>
      </c>
      <c r="H535" s="2">
        <v>1193.28</v>
      </c>
      <c r="I535">
        <v>29</v>
      </c>
      <c r="J535" t="s">
        <v>34</v>
      </c>
      <c r="K535" s="2">
        <v>3578.77</v>
      </c>
      <c r="L535" s="2">
        <v>3635.02</v>
      </c>
      <c r="M535" t="s">
        <v>29</v>
      </c>
      <c r="N535">
        <v>0.2</v>
      </c>
      <c r="O535" s="2">
        <f>(Sales[[#This Row],[Unit_Price]]-Sales[[#This Row],[Discount]]*Sales[[#This Row],[Unit_Price]])</f>
        <v>2908.0160000000001</v>
      </c>
      <c r="P535" t="s">
        <v>26</v>
      </c>
      <c r="Q535" t="s">
        <v>21</v>
      </c>
      <c r="R535" t="s">
        <v>40</v>
      </c>
    </row>
    <row r="536" spans="1:18" x14ac:dyDescent="0.35">
      <c r="A536">
        <v>1096</v>
      </c>
      <c r="B536" s="1">
        <v>45261</v>
      </c>
      <c r="C536" s="1" t="str">
        <f>TEXT(Sales[[#This Row],[Sale_Date]],"YYYY")</f>
        <v>2023</v>
      </c>
      <c r="D536" s="1" t="str">
        <f>TEXT(Sales[[#This Row],[Sale_Date]],"MMMM")</f>
        <v>December</v>
      </c>
      <c r="E536" s="1" t="str">
        <f>TEXT(Sales[[#This Row],[Sale_Date]],"DDDD")</f>
        <v>Friday</v>
      </c>
      <c r="F536" t="s">
        <v>13</v>
      </c>
      <c r="G536" t="s">
        <v>33</v>
      </c>
      <c r="H536" s="2">
        <v>2962.96</v>
      </c>
      <c r="I536">
        <v>20</v>
      </c>
      <c r="J536" t="s">
        <v>15</v>
      </c>
      <c r="K536" s="2">
        <v>1994.9</v>
      </c>
      <c r="L536" s="2">
        <v>2066.5</v>
      </c>
      <c r="M536" t="s">
        <v>16</v>
      </c>
      <c r="N536">
        <v>0.06</v>
      </c>
      <c r="O536" s="2">
        <f>(Sales[[#This Row],[Unit_Price]]-Sales[[#This Row],[Discount]]*Sales[[#This Row],[Unit_Price]])</f>
        <v>1942.51</v>
      </c>
      <c r="P536" t="s">
        <v>26</v>
      </c>
      <c r="Q536" t="s">
        <v>18</v>
      </c>
      <c r="R536" t="s">
        <v>45</v>
      </c>
    </row>
    <row r="537" spans="1:18" x14ac:dyDescent="0.35">
      <c r="A537">
        <v>1001</v>
      </c>
      <c r="B537" s="1">
        <v>45043</v>
      </c>
      <c r="C537" s="1" t="str">
        <f>TEXT(Sales[[#This Row],[Sale_Date]],"YYYY")</f>
        <v>2023</v>
      </c>
      <c r="D537" s="1" t="str">
        <f>TEXT(Sales[[#This Row],[Sale_Date]],"MMMM")</f>
        <v>April</v>
      </c>
      <c r="E537" s="1" t="str">
        <f>TEXT(Sales[[#This Row],[Sale_Date]],"DDDD")</f>
        <v>Thursday</v>
      </c>
      <c r="F537" t="s">
        <v>37</v>
      </c>
      <c r="G537" t="s">
        <v>33</v>
      </c>
      <c r="H537" s="2">
        <v>3167.09</v>
      </c>
      <c r="I537">
        <v>25</v>
      </c>
      <c r="J537" t="s">
        <v>34</v>
      </c>
      <c r="K537" s="2">
        <v>1330.62</v>
      </c>
      <c r="L537" s="2">
        <v>1543.6899999999901</v>
      </c>
      <c r="M537" t="s">
        <v>29</v>
      </c>
      <c r="N537">
        <v>0.27</v>
      </c>
      <c r="O537" s="2">
        <f>(Sales[[#This Row],[Unit_Price]]-Sales[[#This Row],[Discount]]*Sales[[#This Row],[Unit_Price]])</f>
        <v>1126.8936999999928</v>
      </c>
      <c r="P537" t="s">
        <v>30</v>
      </c>
      <c r="Q537" t="s">
        <v>18</v>
      </c>
      <c r="R537" t="s">
        <v>47</v>
      </c>
    </row>
    <row r="538" spans="1:18" x14ac:dyDescent="0.35">
      <c r="A538">
        <v>1069</v>
      </c>
      <c r="B538" s="1">
        <v>44933</v>
      </c>
      <c r="C538" s="1" t="str">
        <f>TEXT(Sales[[#This Row],[Sale_Date]],"YYYY")</f>
        <v>2023</v>
      </c>
      <c r="D538" s="1" t="str">
        <f>TEXT(Sales[[#This Row],[Sale_Date]],"MMMM")</f>
        <v>January</v>
      </c>
      <c r="E538" s="1" t="str">
        <f>TEXT(Sales[[#This Row],[Sale_Date]],"DDDD")</f>
        <v>Saturday</v>
      </c>
      <c r="F538" t="s">
        <v>41</v>
      </c>
      <c r="G538" t="s">
        <v>33</v>
      </c>
      <c r="H538" s="2">
        <v>2574.5700000000002</v>
      </c>
      <c r="I538">
        <v>6</v>
      </c>
      <c r="J538" t="s">
        <v>25</v>
      </c>
      <c r="K538" s="2">
        <v>1768.6</v>
      </c>
      <c r="L538" s="2">
        <v>2152.1999999999998</v>
      </c>
      <c r="M538" t="s">
        <v>29</v>
      </c>
      <c r="N538">
        <v>0.25</v>
      </c>
      <c r="O538" s="2">
        <f>(Sales[[#This Row],[Unit_Price]]-Sales[[#This Row],[Discount]]*Sales[[#This Row],[Unit_Price]])</f>
        <v>1614.1499999999999</v>
      </c>
      <c r="P538" t="s">
        <v>26</v>
      </c>
      <c r="Q538" t="s">
        <v>21</v>
      </c>
      <c r="R538" t="s">
        <v>51</v>
      </c>
    </row>
    <row r="539" spans="1:18" x14ac:dyDescent="0.35">
      <c r="A539">
        <v>1004</v>
      </c>
      <c r="B539" s="1">
        <v>45063</v>
      </c>
      <c r="C539" s="1" t="str">
        <f>TEXT(Sales[[#This Row],[Sale_Date]],"YYYY")</f>
        <v>2023</v>
      </c>
      <c r="D539" s="1" t="str">
        <f>TEXT(Sales[[#This Row],[Sale_Date]],"MMMM")</f>
        <v>May</v>
      </c>
      <c r="E539" s="1" t="str">
        <f>TEXT(Sales[[#This Row],[Sale_Date]],"DDDD")</f>
        <v>Wednesday</v>
      </c>
      <c r="F539" t="s">
        <v>41</v>
      </c>
      <c r="G539" t="s">
        <v>14</v>
      </c>
      <c r="H539" s="2">
        <v>5198.5600000000004</v>
      </c>
      <c r="I539">
        <v>36</v>
      </c>
      <c r="J539" t="s">
        <v>25</v>
      </c>
      <c r="K539" s="2">
        <v>3981.2</v>
      </c>
      <c r="L539" s="2">
        <v>4432.3499999999904</v>
      </c>
      <c r="M539" t="s">
        <v>29</v>
      </c>
      <c r="N539">
        <v>0.14000000000000001</v>
      </c>
      <c r="O539" s="2">
        <f>(Sales[[#This Row],[Unit_Price]]-Sales[[#This Row],[Discount]]*Sales[[#This Row],[Unit_Price]])</f>
        <v>3811.8209999999917</v>
      </c>
      <c r="P539" t="s">
        <v>17</v>
      </c>
      <c r="Q539" t="s">
        <v>18</v>
      </c>
      <c r="R539" t="s">
        <v>48</v>
      </c>
    </row>
    <row r="540" spans="1:18" x14ac:dyDescent="0.35">
      <c r="A540">
        <v>1016</v>
      </c>
      <c r="B540" s="1">
        <v>45102</v>
      </c>
      <c r="C540" s="1" t="str">
        <f>TEXT(Sales[[#This Row],[Sale_Date]],"YYYY")</f>
        <v>2023</v>
      </c>
      <c r="D540" s="1" t="str">
        <f>TEXT(Sales[[#This Row],[Sale_Date]],"MMMM")</f>
        <v>June</v>
      </c>
      <c r="E540" s="1" t="str">
        <f>TEXT(Sales[[#This Row],[Sale_Date]],"DDDD")</f>
        <v>Sunday</v>
      </c>
      <c r="F540" t="s">
        <v>41</v>
      </c>
      <c r="G540" t="s">
        <v>20</v>
      </c>
      <c r="H540" s="2">
        <v>5401.98</v>
      </c>
      <c r="I540">
        <v>2</v>
      </c>
      <c r="J540" t="s">
        <v>34</v>
      </c>
      <c r="K540" s="2">
        <v>3144.82</v>
      </c>
      <c r="L540" s="2">
        <v>3480.58</v>
      </c>
      <c r="M540" t="s">
        <v>16</v>
      </c>
      <c r="N540">
        <v>0.12</v>
      </c>
      <c r="O540" s="2">
        <f>(Sales[[#This Row],[Unit_Price]]-Sales[[#This Row],[Discount]]*Sales[[#This Row],[Unit_Price]])</f>
        <v>3062.9103999999998</v>
      </c>
      <c r="P540" t="s">
        <v>17</v>
      </c>
      <c r="Q540" t="s">
        <v>21</v>
      </c>
      <c r="R540" t="s">
        <v>50</v>
      </c>
    </row>
    <row r="541" spans="1:18" x14ac:dyDescent="0.35">
      <c r="A541">
        <v>1024</v>
      </c>
      <c r="B541" s="1">
        <v>45254</v>
      </c>
      <c r="C541" s="1" t="str">
        <f>TEXT(Sales[[#This Row],[Sale_Date]],"YYYY")</f>
        <v>2023</v>
      </c>
      <c r="D541" s="1" t="str">
        <f>TEXT(Sales[[#This Row],[Sale_Date]],"MMMM")</f>
        <v>November</v>
      </c>
      <c r="E541" s="1" t="str">
        <f>TEXT(Sales[[#This Row],[Sale_Date]],"DDDD")</f>
        <v>Friday</v>
      </c>
      <c r="F541" t="s">
        <v>41</v>
      </c>
      <c r="G541" t="s">
        <v>24</v>
      </c>
      <c r="H541" s="2">
        <v>3633.17</v>
      </c>
      <c r="I541">
        <v>22</v>
      </c>
      <c r="J541" t="s">
        <v>25</v>
      </c>
      <c r="K541" s="2">
        <v>4691.32</v>
      </c>
      <c r="L541" s="2">
        <v>4752.88</v>
      </c>
      <c r="M541" t="s">
        <v>16</v>
      </c>
      <c r="N541">
        <v>7.0000000000000007E-2</v>
      </c>
      <c r="O541" s="2">
        <f>(Sales[[#This Row],[Unit_Price]]-Sales[[#This Row],[Discount]]*Sales[[#This Row],[Unit_Price]])</f>
        <v>4420.1783999999998</v>
      </c>
      <c r="P541" t="s">
        <v>26</v>
      </c>
      <c r="Q541" t="s">
        <v>21</v>
      </c>
      <c r="R541" t="s">
        <v>42</v>
      </c>
    </row>
    <row r="542" spans="1:18" x14ac:dyDescent="0.35">
      <c r="A542">
        <v>1080</v>
      </c>
      <c r="B542" s="1">
        <v>45241</v>
      </c>
      <c r="C542" s="1" t="str">
        <f>TEXT(Sales[[#This Row],[Sale_Date]],"YYYY")</f>
        <v>2023</v>
      </c>
      <c r="D542" s="1" t="str">
        <f>TEXT(Sales[[#This Row],[Sale_Date]],"MMMM")</f>
        <v>November</v>
      </c>
      <c r="E542" s="1" t="str">
        <f>TEXT(Sales[[#This Row],[Sale_Date]],"DDDD")</f>
        <v>Saturday</v>
      </c>
      <c r="F542" t="s">
        <v>41</v>
      </c>
      <c r="G542" t="s">
        <v>33</v>
      </c>
      <c r="H542" s="2">
        <v>3602.51</v>
      </c>
      <c r="I542">
        <v>32</v>
      </c>
      <c r="J542" t="s">
        <v>34</v>
      </c>
      <c r="K542" s="2">
        <v>3414.54</v>
      </c>
      <c r="L542" s="2">
        <v>3753.83</v>
      </c>
      <c r="M542" t="s">
        <v>29</v>
      </c>
      <c r="N542">
        <v>0.22</v>
      </c>
      <c r="O542" s="2">
        <f>(Sales[[#This Row],[Unit_Price]]-Sales[[#This Row],[Discount]]*Sales[[#This Row],[Unit_Price]])</f>
        <v>2927.9874</v>
      </c>
      <c r="P542" t="s">
        <v>17</v>
      </c>
      <c r="Q542" t="s">
        <v>21</v>
      </c>
      <c r="R542" t="s">
        <v>51</v>
      </c>
    </row>
    <row r="543" spans="1:18" x14ac:dyDescent="0.35">
      <c r="A543">
        <v>1002</v>
      </c>
      <c r="B543" s="1">
        <v>45141</v>
      </c>
      <c r="C543" s="1" t="str">
        <f>TEXT(Sales[[#This Row],[Sale_Date]],"YYYY")</f>
        <v>2023</v>
      </c>
      <c r="D543" s="1" t="str">
        <f>TEXT(Sales[[#This Row],[Sale_Date]],"MMMM")</f>
        <v>August</v>
      </c>
      <c r="E543" s="1" t="str">
        <f>TEXT(Sales[[#This Row],[Sale_Date]],"DDDD")</f>
        <v>Thursday</v>
      </c>
      <c r="F543" t="s">
        <v>41</v>
      </c>
      <c r="G543" t="s">
        <v>24</v>
      </c>
      <c r="H543" s="2">
        <v>8302.7000000000007</v>
      </c>
      <c r="I543">
        <v>16</v>
      </c>
      <c r="J543" t="s">
        <v>15</v>
      </c>
      <c r="K543" s="2">
        <v>2872.4</v>
      </c>
      <c r="L543" s="2">
        <v>3193.76</v>
      </c>
      <c r="M543" t="s">
        <v>16</v>
      </c>
      <c r="N543">
        <v>0.04</v>
      </c>
      <c r="O543" s="2">
        <f>(Sales[[#This Row],[Unit_Price]]-Sales[[#This Row],[Discount]]*Sales[[#This Row],[Unit_Price]])</f>
        <v>3066.0096000000003</v>
      </c>
      <c r="P543" t="s">
        <v>30</v>
      </c>
      <c r="Q543" t="s">
        <v>18</v>
      </c>
      <c r="R543" t="s">
        <v>42</v>
      </c>
    </row>
    <row r="544" spans="1:18" x14ac:dyDescent="0.35">
      <c r="A544">
        <v>1092</v>
      </c>
      <c r="B544" s="1">
        <v>45008</v>
      </c>
      <c r="C544" s="1" t="str">
        <f>TEXT(Sales[[#This Row],[Sale_Date]],"YYYY")</f>
        <v>2023</v>
      </c>
      <c r="D544" s="1" t="str">
        <f>TEXT(Sales[[#This Row],[Sale_Date]],"MMMM")</f>
        <v>March</v>
      </c>
      <c r="E544" s="1" t="str">
        <f>TEXT(Sales[[#This Row],[Sale_Date]],"DDDD")</f>
        <v>Thursday</v>
      </c>
      <c r="F544" t="s">
        <v>13</v>
      </c>
      <c r="G544" t="s">
        <v>24</v>
      </c>
      <c r="H544" s="2">
        <v>7914</v>
      </c>
      <c r="I544">
        <v>18</v>
      </c>
      <c r="J544" t="s">
        <v>25</v>
      </c>
      <c r="K544" s="2">
        <v>3070.47</v>
      </c>
      <c r="L544" s="2">
        <v>3475.29</v>
      </c>
      <c r="M544" t="s">
        <v>16</v>
      </c>
      <c r="N544">
        <v>0.2</v>
      </c>
      <c r="O544" s="2">
        <f>(Sales[[#This Row],[Unit_Price]]-Sales[[#This Row],[Discount]]*Sales[[#This Row],[Unit_Price]])</f>
        <v>2780.232</v>
      </c>
      <c r="P544" t="s">
        <v>26</v>
      </c>
      <c r="Q544" t="s">
        <v>18</v>
      </c>
      <c r="R544" t="s">
        <v>31</v>
      </c>
    </row>
    <row r="545" spans="1:18" x14ac:dyDescent="0.35">
      <c r="A545">
        <v>1032</v>
      </c>
      <c r="B545" s="1">
        <v>45149</v>
      </c>
      <c r="C545" s="1" t="str">
        <f>TEXT(Sales[[#This Row],[Sale_Date]],"YYYY")</f>
        <v>2023</v>
      </c>
      <c r="D545" s="1" t="str">
        <f>TEXT(Sales[[#This Row],[Sale_Date]],"MMMM")</f>
        <v>August</v>
      </c>
      <c r="E545" s="1" t="str">
        <f>TEXT(Sales[[#This Row],[Sale_Date]],"DDDD")</f>
        <v>Friday</v>
      </c>
      <c r="F545" t="s">
        <v>23</v>
      </c>
      <c r="G545" t="s">
        <v>33</v>
      </c>
      <c r="H545" s="2">
        <v>3147.18</v>
      </c>
      <c r="I545">
        <v>5</v>
      </c>
      <c r="J545" t="s">
        <v>25</v>
      </c>
      <c r="K545" s="2">
        <v>4714.74</v>
      </c>
      <c r="L545" s="2">
        <v>5129.1099999999997</v>
      </c>
      <c r="M545" t="s">
        <v>29</v>
      </c>
      <c r="N545">
        <v>0.25</v>
      </c>
      <c r="O545" s="2">
        <f>(Sales[[#This Row],[Unit_Price]]-Sales[[#This Row],[Discount]]*Sales[[#This Row],[Unit_Price]])</f>
        <v>3846.8324999999995</v>
      </c>
      <c r="P545" t="s">
        <v>26</v>
      </c>
      <c r="Q545" t="s">
        <v>18</v>
      </c>
      <c r="R545" t="s">
        <v>49</v>
      </c>
    </row>
    <row r="546" spans="1:18" x14ac:dyDescent="0.35">
      <c r="A546">
        <v>1091</v>
      </c>
      <c r="B546" s="1">
        <v>45029</v>
      </c>
      <c r="C546" s="1" t="str">
        <f>TEXT(Sales[[#This Row],[Sale_Date]],"YYYY")</f>
        <v>2023</v>
      </c>
      <c r="D546" s="1" t="str">
        <f>TEXT(Sales[[#This Row],[Sale_Date]],"MMMM")</f>
        <v>April</v>
      </c>
      <c r="E546" s="1" t="str">
        <f>TEXT(Sales[[#This Row],[Sale_Date]],"DDDD")</f>
        <v>Thursday</v>
      </c>
      <c r="F546" t="s">
        <v>37</v>
      </c>
      <c r="G546" t="s">
        <v>20</v>
      </c>
      <c r="H546" s="2">
        <v>9146.51</v>
      </c>
      <c r="I546">
        <v>36</v>
      </c>
      <c r="J546" t="s">
        <v>34</v>
      </c>
      <c r="K546" s="2">
        <v>3951.59</v>
      </c>
      <c r="L546" s="2">
        <v>4387.01</v>
      </c>
      <c r="M546" t="s">
        <v>29</v>
      </c>
      <c r="N546">
        <v>7.0000000000000007E-2</v>
      </c>
      <c r="O546" s="2">
        <f>(Sales[[#This Row],[Unit_Price]]-Sales[[#This Row],[Discount]]*Sales[[#This Row],[Unit_Price]])</f>
        <v>4079.9193</v>
      </c>
      <c r="P546" t="s">
        <v>26</v>
      </c>
      <c r="Q546" t="s">
        <v>21</v>
      </c>
      <c r="R546" t="s">
        <v>40</v>
      </c>
    </row>
    <row r="547" spans="1:18" x14ac:dyDescent="0.35">
      <c r="A547">
        <v>1084</v>
      </c>
      <c r="B547" s="1">
        <v>45199</v>
      </c>
      <c r="C547" s="1" t="str">
        <f>TEXT(Sales[[#This Row],[Sale_Date]],"YYYY")</f>
        <v>2023</v>
      </c>
      <c r="D547" s="1" t="str">
        <f>TEXT(Sales[[#This Row],[Sale_Date]],"MMMM")</f>
        <v>September</v>
      </c>
      <c r="E547" s="1" t="str">
        <f>TEXT(Sales[[#This Row],[Sale_Date]],"DDDD")</f>
        <v>Saturday</v>
      </c>
      <c r="F547" t="s">
        <v>41</v>
      </c>
      <c r="G547" t="s">
        <v>33</v>
      </c>
      <c r="H547" s="2">
        <v>9532.8700000000008</v>
      </c>
      <c r="I547">
        <v>30</v>
      </c>
      <c r="J547" t="s">
        <v>25</v>
      </c>
      <c r="K547" s="2">
        <v>169</v>
      </c>
      <c r="L547" s="2">
        <v>381.91999999999899</v>
      </c>
      <c r="M547" t="s">
        <v>16</v>
      </c>
      <c r="N547">
        <v>0.26</v>
      </c>
      <c r="O547" s="2">
        <f>(Sales[[#This Row],[Unit_Price]]-Sales[[#This Row],[Discount]]*Sales[[#This Row],[Unit_Price]])</f>
        <v>282.62079999999924</v>
      </c>
      <c r="P547" t="s">
        <v>17</v>
      </c>
      <c r="Q547" t="s">
        <v>21</v>
      </c>
      <c r="R547" t="s">
        <v>51</v>
      </c>
    </row>
    <row r="548" spans="1:18" x14ac:dyDescent="0.35">
      <c r="A548">
        <v>1024</v>
      </c>
      <c r="B548" s="1">
        <v>44940</v>
      </c>
      <c r="C548" s="1" t="str">
        <f>TEXT(Sales[[#This Row],[Sale_Date]],"YYYY")</f>
        <v>2023</v>
      </c>
      <c r="D548" s="1" t="str">
        <f>TEXT(Sales[[#This Row],[Sale_Date]],"MMMM")</f>
        <v>January</v>
      </c>
      <c r="E548" s="1" t="str">
        <f>TEXT(Sales[[#This Row],[Sale_Date]],"DDDD")</f>
        <v>Saturday</v>
      </c>
      <c r="F548" t="s">
        <v>13</v>
      </c>
      <c r="G548" t="s">
        <v>24</v>
      </c>
      <c r="H548" s="2">
        <v>3334.75</v>
      </c>
      <c r="I548">
        <v>45</v>
      </c>
      <c r="J548" t="s">
        <v>28</v>
      </c>
      <c r="K548" s="2">
        <v>2693.99</v>
      </c>
      <c r="L548" s="2">
        <v>3045.9399999999901</v>
      </c>
      <c r="M548" t="s">
        <v>29</v>
      </c>
      <c r="N548">
        <v>0.01</v>
      </c>
      <c r="O548" s="2">
        <f>(Sales[[#This Row],[Unit_Price]]-Sales[[#This Row],[Discount]]*Sales[[#This Row],[Unit_Price]])</f>
        <v>3015.4805999999903</v>
      </c>
      <c r="P548" t="s">
        <v>17</v>
      </c>
      <c r="Q548" t="s">
        <v>21</v>
      </c>
      <c r="R548" t="s">
        <v>31</v>
      </c>
    </row>
    <row r="549" spans="1:18" x14ac:dyDescent="0.35">
      <c r="A549">
        <v>1012</v>
      </c>
      <c r="B549" s="1">
        <v>45085</v>
      </c>
      <c r="C549" s="1" t="str">
        <f>TEXT(Sales[[#This Row],[Sale_Date]],"YYYY")</f>
        <v>2023</v>
      </c>
      <c r="D549" s="1" t="str">
        <f>TEXT(Sales[[#This Row],[Sale_Date]],"MMMM")</f>
        <v>June</v>
      </c>
      <c r="E549" s="1" t="str">
        <f>TEXT(Sales[[#This Row],[Sale_Date]],"DDDD")</f>
        <v>Thursday</v>
      </c>
      <c r="F549" t="s">
        <v>13</v>
      </c>
      <c r="G549" t="s">
        <v>33</v>
      </c>
      <c r="H549" s="2">
        <v>3608.81</v>
      </c>
      <c r="I549">
        <v>19</v>
      </c>
      <c r="J549" t="s">
        <v>15</v>
      </c>
      <c r="K549" s="2">
        <v>3457.28</v>
      </c>
      <c r="L549" s="2">
        <v>3598.72</v>
      </c>
      <c r="M549" t="s">
        <v>29</v>
      </c>
      <c r="N549">
        <v>0.27</v>
      </c>
      <c r="O549" s="2">
        <f>(Sales[[#This Row],[Unit_Price]]-Sales[[#This Row],[Discount]]*Sales[[#This Row],[Unit_Price]])</f>
        <v>2627.0655999999999</v>
      </c>
      <c r="P549" t="s">
        <v>26</v>
      </c>
      <c r="Q549" t="s">
        <v>18</v>
      </c>
      <c r="R549" t="s">
        <v>45</v>
      </c>
    </row>
    <row r="550" spans="1:18" x14ac:dyDescent="0.35">
      <c r="A550">
        <v>1050</v>
      </c>
      <c r="B550" s="1">
        <v>45078</v>
      </c>
      <c r="C550" s="1" t="str">
        <f>TEXT(Sales[[#This Row],[Sale_Date]],"YYYY")</f>
        <v>2023</v>
      </c>
      <c r="D550" s="1" t="str">
        <f>TEXT(Sales[[#This Row],[Sale_Date]],"MMMM")</f>
        <v>June</v>
      </c>
      <c r="E550" s="1" t="str">
        <f>TEXT(Sales[[#This Row],[Sale_Date]],"DDDD")</f>
        <v>Thursday</v>
      </c>
      <c r="F550" t="s">
        <v>13</v>
      </c>
      <c r="G550" t="s">
        <v>24</v>
      </c>
      <c r="H550" s="2">
        <v>5105.78</v>
      </c>
      <c r="I550">
        <v>23</v>
      </c>
      <c r="J550" t="s">
        <v>15</v>
      </c>
      <c r="K550" s="2">
        <v>3756.06</v>
      </c>
      <c r="L550" s="2">
        <v>4255.7299999999996</v>
      </c>
      <c r="M550" t="s">
        <v>16</v>
      </c>
      <c r="N550">
        <v>0.04</v>
      </c>
      <c r="O550" s="2">
        <f>(Sales[[#This Row],[Unit_Price]]-Sales[[#This Row],[Discount]]*Sales[[#This Row],[Unit_Price]])</f>
        <v>4085.5007999999998</v>
      </c>
      <c r="P550" t="s">
        <v>17</v>
      </c>
      <c r="Q550" t="s">
        <v>18</v>
      </c>
      <c r="R550" t="s">
        <v>31</v>
      </c>
    </row>
    <row r="551" spans="1:18" x14ac:dyDescent="0.35">
      <c r="A551">
        <v>1035</v>
      </c>
      <c r="B551" s="1">
        <v>45034</v>
      </c>
      <c r="C551" s="1" t="str">
        <f>TEXT(Sales[[#This Row],[Sale_Date]],"YYYY")</f>
        <v>2023</v>
      </c>
      <c r="D551" s="1" t="str">
        <f>TEXT(Sales[[#This Row],[Sale_Date]],"MMMM")</f>
        <v>April</v>
      </c>
      <c r="E551" s="1" t="str">
        <f>TEXT(Sales[[#This Row],[Sale_Date]],"DDDD")</f>
        <v>Tuesday</v>
      </c>
      <c r="F551" t="s">
        <v>23</v>
      </c>
      <c r="G551" t="s">
        <v>24</v>
      </c>
      <c r="H551" s="2">
        <v>9417.1</v>
      </c>
      <c r="I551">
        <v>34</v>
      </c>
      <c r="J551" t="s">
        <v>25</v>
      </c>
      <c r="K551" s="2">
        <v>1105.05</v>
      </c>
      <c r="L551" s="2">
        <v>1200.96</v>
      </c>
      <c r="M551" t="s">
        <v>16</v>
      </c>
      <c r="N551">
        <v>0.19</v>
      </c>
      <c r="O551" s="2">
        <f>(Sales[[#This Row],[Unit_Price]]-Sales[[#This Row],[Discount]]*Sales[[#This Row],[Unit_Price]])</f>
        <v>972.77760000000001</v>
      </c>
      <c r="P551" t="s">
        <v>17</v>
      </c>
      <c r="Q551" t="s">
        <v>18</v>
      </c>
      <c r="R551" t="s">
        <v>27</v>
      </c>
    </row>
    <row r="552" spans="1:18" x14ac:dyDescent="0.35">
      <c r="A552">
        <v>1033</v>
      </c>
      <c r="B552" s="1">
        <v>45114</v>
      </c>
      <c r="C552" s="1" t="str">
        <f>TEXT(Sales[[#This Row],[Sale_Date]],"YYYY")</f>
        <v>2023</v>
      </c>
      <c r="D552" s="1" t="str">
        <f>TEXT(Sales[[#This Row],[Sale_Date]],"MMMM")</f>
        <v>July</v>
      </c>
      <c r="E552" s="1" t="str">
        <f>TEXT(Sales[[#This Row],[Sale_Date]],"DDDD")</f>
        <v>Friday</v>
      </c>
      <c r="F552" t="s">
        <v>37</v>
      </c>
      <c r="G552" t="s">
        <v>33</v>
      </c>
      <c r="H552" s="2">
        <v>8775.56</v>
      </c>
      <c r="I552">
        <v>13</v>
      </c>
      <c r="J552" t="s">
        <v>25</v>
      </c>
      <c r="K552" s="2">
        <v>4342.53</v>
      </c>
      <c r="L552" s="2">
        <v>4357.49</v>
      </c>
      <c r="M552" t="s">
        <v>29</v>
      </c>
      <c r="N552">
        <v>0.08</v>
      </c>
      <c r="O552" s="2">
        <f>(Sales[[#This Row],[Unit_Price]]-Sales[[#This Row],[Discount]]*Sales[[#This Row],[Unit_Price]])</f>
        <v>4008.8907999999997</v>
      </c>
      <c r="P552" t="s">
        <v>26</v>
      </c>
      <c r="Q552" t="s">
        <v>18</v>
      </c>
      <c r="R552" t="s">
        <v>47</v>
      </c>
    </row>
    <row r="553" spans="1:18" x14ac:dyDescent="0.35">
      <c r="A553">
        <v>1033</v>
      </c>
      <c r="B553" s="1">
        <v>45227</v>
      </c>
      <c r="C553" s="1" t="str">
        <f>TEXT(Sales[[#This Row],[Sale_Date]],"YYYY")</f>
        <v>2023</v>
      </c>
      <c r="D553" s="1" t="str">
        <f>TEXT(Sales[[#This Row],[Sale_Date]],"MMMM")</f>
        <v>October</v>
      </c>
      <c r="E553" s="1" t="str">
        <f>TEXT(Sales[[#This Row],[Sale_Date]],"DDDD")</f>
        <v>Saturday</v>
      </c>
      <c r="F553" t="s">
        <v>23</v>
      </c>
      <c r="G553" t="s">
        <v>14</v>
      </c>
      <c r="H553" s="2">
        <v>1115.42</v>
      </c>
      <c r="I553">
        <v>43</v>
      </c>
      <c r="J553" t="s">
        <v>28</v>
      </c>
      <c r="K553" s="2">
        <v>4781.42</v>
      </c>
      <c r="L553" s="2">
        <v>4864.34</v>
      </c>
      <c r="M553" t="s">
        <v>16</v>
      </c>
      <c r="N553">
        <v>0.25</v>
      </c>
      <c r="O553" s="2">
        <f>(Sales[[#This Row],[Unit_Price]]-Sales[[#This Row],[Discount]]*Sales[[#This Row],[Unit_Price]])</f>
        <v>3648.2550000000001</v>
      </c>
      <c r="P553" t="s">
        <v>26</v>
      </c>
      <c r="Q553" t="s">
        <v>18</v>
      </c>
      <c r="R553" t="s">
        <v>44</v>
      </c>
    </row>
    <row r="554" spans="1:18" x14ac:dyDescent="0.35">
      <c r="A554">
        <v>1061</v>
      </c>
      <c r="B554" s="1">
        <v>45024</v>
      </c>
      <c r="C554" s="1" t="str">
        <f>TEXT(Sales[[#This Row],[Sale_Date]],"YYYY")</f>
        <v>2023</v>
      </c>
      <c r="D554" s="1" t="str">
        <f>TEXT(Sales[[#This Row],[Sale_Date]],"MMMM")</f>
        <v>April</v>
      </c>
      <c r="E554" s="1" t="str">
        <f>TEXT(Sales[[#This Row],[Sale_Date]],"DDDD")</f>
        <v>Saturday</v>
      </c>
      <c r="F554" t="s">
        <v>32</v>
      </c>
      <c r="G554" t="s">
        <v>33</v>
      </c>
      <c r="H554" s="2">
        <v>3988.03</v>
      </c>
      <c r="I554">
        <v>29</v>
      </c>
      <c r="J554" t="s">
        <v>28</v>
      </c>
      <c r="K554" s="2">
        <v>1221.74</v>
      </c>
      <c r="L554" s="2">
        <v>1611.92</v>
      </c>
      <c r="M554" t="s">
        <v>29</v>
      </c>
      <c r="N554">
        <v>0.15</v>
      </c>
      <c r="O554" s="2">
        <f>(Sales[[#This Row],[Unit_Price]]-Sales[[#This Row],[Discount]]*Sales[[#This Row],[Unit_Price]])</f>
        <v>1370.1320000000001</v>
      </c>
      <c r="P554" t="s">
        <v>17</v>
      </c>
      <c r="Q554" t="s">
        <v>21</v>
      </c>
      <c r="R554" t="s">
        <v>35</v>
      </c>
    </row>
    <row r="555" spans="1:18" x14ac:dyDescent="0.35">
      <c r="A555">
        <v>1051</v>
      </c>
      <c r="B555" s="1">
        <v>45057</v>
      </c>
      <c r="C555" s="1" t="str">
        <f>TEXT(Sales[[#This Row],[Sale_Date]],"YYYY")</f>
        <v>2023</v>
      </c>
      <c r="D555" s="1" t="str">
        <f>TEXT(Sales[[#This Row],[Sale_Date]],"MMMM")</f>
        <v>May</v>
      </c>
      <c r="E555" s="1" t="str">
        <f>TEXT(Sales[[#This Row],[Sale_Date]],"DDDD")</f>
        <v>Thursday</v>
      </c>
      <c r="F555" t="s">
        <v>13</v>
      </c>
      <c r="G555" t="s">
        <v>14</v>
      </c>
      <c r="H555" s="2">
        <v>5578.37</v>
      </c>
      <c r="I555">
        <v>36</v>
      </c>
      <c r="J555" t="s">
        <v>25</v>
      </c>
      <c r="K555" s="2">
        <v>4418.95</v>
      </c>
      <c r="L555" s="2">
        <v>4647.87</v>
      </c>
      <c r="M555" t="s">
        <v>29</v>
      </c>
      <c r="N555">
        <v>0.04</v>
      </c>
      <c r="O555" s="2">
        <f>(Sales[[#This Row],[Unit_Price]]-Sales[[#This Row],[Discount]]*Sales[[#This Row],[Unit_Price]])</f>
        <v>4461.9552000000003</v>
      </c>
      <c r="P555" t="s">
        <v>26</v>
      </c>
      <c r="Q555" t="s">
        <v>18</v>
      </c>
      <c r="R555" t="s">
        <v>19</v>
      </c>
    </row>
    <row r="556" spans="1:18" x14ac:dyDescent="0.35">
      <c r="A556">
        <v>1043</v>
      </c>
      <c r="B556" s="1">
        <v>45219</v>
      </c>
      <c r="C556" s="1" t="str">
        <f>TEXT(Sales[[#This Row],[Sale_Date]],"YYYY")</f>
        <v>2023</v>
      </c>
      <c r="D556" s="1" t="str">
        <f>TEXT(Sales[[#This Row],[Sale_Date]],"MMMM")</f>
        <v>October</v>
      </c>
      <c r="E556" s="1" t="str">
        <f>TEXT(Sales[[#This Row],[Sale_Date]],"DDDD")</f>
        <v>Friday</v>
      </c>
      <c r="F556" t="s">
        <v>32</v>
      </c>
      <c r="G556" t="s">
        <v>24</v>
      </c>
      <c r="H556" s="2">
        <v>5081.01</v>
      </c>
      <c r="I556">
        <v>22</v>
      </c>
      <c r="J556" t="s">
        <v>25</v>
      </c>
      <c r="K556" s="2">
        <v>530.04</v>
      </c>
      <c r="L556" s="2">
        <v>759.31999999999903</v>
      </c>
      <c r="M556" t="s">
        <v>16</v>
      </c>
      <c r="N556">
        <v>0.17</v>
      </c>
      <c r="O556" s="2">
        <f>(Sales[[#This Row],[Unit_Price]]-Sales[[#This Row],[Discount]]*Sales[[#This Row],[Unit_Price]])</f>
        <v>630.23559999999918</v>
      </c>
      <c r="P556" t="s">
        <v>26</v>
      </c>
      <c r="Q556" t="s">
        <v>21</v>
      </c>
      <c r="R556" t="s">
        <v>43</v>
      </c>
    </row>
    <row r="557" spans="1:18" x14ac:dyDescent="0.35">
      <c r="A557">
        <v>1012</v>
      </c>
      <c r="B557" s="1">
        <v>45097</v>
      </c>
      <c r="C557" s="1" t="str">
        <f>TEXT(Sales[[#This Row],[Sale_Date]],"YYYY")</f>
        <v>2023</v>
      </c>
      <c r="D557" s="1" t="str">
        <f>TEXT(Sales[[#This Row],[Sale_Date]],"MMMM")</f>
        <v>June</v>
      </c>
      <c r="E557" s="1" t="str">
        <f>TEXT(Sales[[#This Row],[Sale_Date]],"DDDD")</f>
        <v>Tuesday</v>
      </c>
      <c r="F557" t="s">
        <v>41</v>
      </c>
      <c r="G557" t="s">
        <v>24</v>
      </c>
      <c r="H557" s="2">
        <v>2019.24</v>
      </c>
      <c r="I557">
        <v>47</v>
      </c>
      <c r="J557" t="s">
        <v>28</v>
      </c>
      <c r="K557" s="2">
        <v>325.75</v>
      </c>
      <c r="L557" s="2">
        <v>803.71</v>
      </c>
      <c r="M557" t="s">
        <v>29</v>
      </c>
      <c r="N557">
        <v>0.12</v>
      </c>
      <c r="O557" s="2">
        <f>(Sales[[#This Row],[Unit_Price]]-Sales[[#This Row],[Discount]]*Sales[[#This Row],[Unit_Price]])</f>
        <v>707.26480000000004</v>
      </c>
      <c r="P557" t="s">
        <v>26</v>
      </c>
      <c r="Q557" t="s">
        <v>21</v>
      </c>
      <c r="R557" t="s">
        <v>42</v>
      </c>
    </row>
    <row r="558" spans="1:18" x14ac:dyDescent="0.35">
      <c r="A558">
        <v>1067</v>
      </c>
      <c r="B558" s="1">
        <v>45109</v>
      </c>
      <c r="C558" s="1" t="str">
        <f>TEXT(Sales[[#This Row],[Sale_Date]],"YYYY")</f>
        <v>2023</v>
      </c>
      <c r="D558" s="1" t="str">
        <f>TEXT(Sales[[#This Row],[Sale_Date]],"MMMM")</f>
        <v>July</v>
      </c>
      <c r="E558" s="1" t="str">
        <f>TEXT(Sales[[#This Row],[Sale_Date]],"DDDD")</f>
        <v>Sunday</v>
      </c>
      <c r="F558" t="s">
        <v>41</v>
      </c>
      <c r="G558" t="s">
        <v>14</v>
      </c>
      <c r="H558" s="2">
        <v>8602.2900000000009</v>
      </c>
      <c r="I558">
        <v>36</v>
      </c>
      <c r="J558" t="s">
        <v>34</v>
      </c>
      <c r="K558" s="2">
        <v>689.66</v>
      </c>
      <c r="L558" s="2">
        <v>1150.28</v>
      </c>
      <c r="M558" t="s">
        <v>29</v>
      </c>
      <c r="N558">
        <v>0.2</v>
      </c>
      <c r="O558" s="2">
        <f>(Sales[[#This Row],[Unit_Price]]-Sales[[#This Row],[Discount]]*Sales[[#This Row],[Unit_Price]])</f>
        <v>920.22399999999993</v>
      </c>
      <c r="P558" t="s">
        <v>26</v>
      </c>
      <c r="Q558" t="s">
        <v>18</v>
      </c>
      <c r="R558" t="s">
        <v>48</v>
      </c>
    </row>
    <row r="559" spans="1:18" x14ac:dyDescent="0.35">
      <c r="A559">
        <v>1065</v>
      </c>
      <c r="B559" s="1">
        <v>45290</v>
      </c>
      <c r="C559" s="1" t="str">
        <f>TEXT(Sales[[#This Row],[Sale_Date]],"YYYY")</f>
        <v>2023</v>
      </c>
      <c r="D559" s="1" t="str">
        <f>TEXT(Sales[[#This Row],[Sale_Date]],"MMMM")</f>
        <v>December</v>
      </c>
      <c r="E559" s="1" t="str">
        <f>TEXT(Sales[[#This Row],[Sale_Date]],"DDDD")</f>
        <v>Saturday</v>
      </c>
      <c r="F559" t="s">
        <v>23</v>
      </c>
      <c r="G559" t="s">
        <v>24</v>
      </c>
      <c r="H559" s="2">
        <v>6801.71</v>
      </c>
      <c r="I559">
        <v>9</v>
      </c>
      <c r="J559" t="s">
        <v>28</v>
      </c>
      <c r="K559" s="2">
        <v>335.82</v>
      </c>
      <c r="L559" s="2">
        <v>498.31</v>
      </c>
      <c r="M559" t="s">
        <v>29</v>
      </c>
      <c r="N559">
        <v>0.26</v>
      </c>
      <c r="O559" s="2">
        <f>(Sales[[#This Row],[Unit_Price]]-Sales[[#This Row],[Discount]]*Sales[[#This Row],[Unit_Price]])</f>
        <v>368.74940000000004</v>
      </c>
      <c r="P559" t="s">
        <v>17</v>
      </c>
      <c r="Q559" t="s">
        <v>21</v>
      </c>
      <c r="R559" t="s">
        <v>27</v>
      </c>
    </row>
    <row r="560" spans="1:18" x14ac:dyDescent="0.35">
      <c r="A560">
        <v>1033</v>
      </c>
      <c r="B560" s="1">
        <v>44965</v>
      </c>
      <c r="C560" s="1" t="str">
        <f>TEXT(Sales[[#This Row],[Sale_Date]],"YYYY")</f>
        <v>2023</v>
      </c>
      <c r="D560" s="1" t="str">
        <f>TEXT(Sales[[#This Row],[Sale_Date]],"MMMM")</f>
        <v>February</v>
      </c>
      <c r="E560" s="1" t="str">
        <f>TEXT(Sales[[#This Row],[Sale_Date]],"DDDD")</f>
        <v>Wednesday</v>
      </c>
      <c r="F560" t="s">
        <v>37</v>
      </c>
      <c r="G560" t="s">
        <v>14</v>
      </c>
      <c r="H560" s="2">
        <v>8395.2900000000009</v>
      </c>
      <c r="I560">
        <v>39</v>
      </c>
      <c r="J560" t="s">
        <v>34</v>
      </c>
      <c r="K560" s="2">
        <v>4232.8100000000004</v>
      </c>
      <c r="L560" s="2">
        <v>4345.25</v>
      </c>
      <c r="M560" t="s">
        <v>16</v>
      </c>
      <c r="N560">
        <v>0.12</v>
      </c>
      <c r="O560" s="2">
        <f>(Sales[[#This Row],[Unit_Price]]-Sales[[#This Row],[Discount]]*Sales[[#This Row],[Unit_Price]])</f>
        <v>3823.82</v>
      </c>
      <c r="P560" t="s">
        <v>26</v>
      </c>
      <c r="Q560" t="s">
        <v>18</v>
      </c>
      <c r="R560" t="s">
        <v>39</v>
      </c>
    </row>
    <row r="561" spans="1:18" x14ac:dyDescent="0.35">
      <c r="A561">
        <v>1040</v>
      </c>
      <c r="B561" s="1">
        <v>44941</v>
      </c>
      <c r="C561" s="1" t="str">
        <f>TEXT(Sales[[#This Row],[Sale_Date]],"YYYY")</f>
        <v>2023</v>
      </c>
      <c r="D561" s="1" t="str">
        <f>TEXT(Sales[[#This Row],[Sale_Date]],"MMMM")</f>
        <v>January</v>
      </c>
      <c r="E561" s="1" t="str">
        <f>TEXT(Sales[[#This Row],[Sale_Date]],"DDDD")</f>
        <v>Sunday</v>
      </c>
      <c r="F561" t="s">
        <v>32</v>
      </c>
      <c r="G561" t="s">
        <v>14</v>
      </c>
      <c r="H561" s="2">
        <v>8601.77</v>
      </c>
      <c r="I561">
        <v>19</v>
      </c>
      <c r="J561" t="s">
        <v>15</v>
      </c>
      <c r="K561" s="2">
        <v>342.3</v>
      </c>
      <c r="L561" s="2">
        <v>768.06</v>
      </c>
      <c r="M561" t="s">
        <v>16</v>
      </c>
      <c r="N561">
        <v>0.09</v>
      </c>
      <c r="O561" s="2">
        <f>(Sales[[#This Row],[Unit_Price]]-Sales[[#This Row],[Discount]]*Sales[[#This Row],[Unit_Price]])</f>
        <v>698.93459999999993</v>
      </c>
      <c r="P561" t="s">
        <v>30</v>
      </c>
      <c r="Q561" t="s">
        <v>18</v>
      </c>
      <c r="R561" t="s">
        <v>52</v>
      </c>
    </row>
    <row r="562" spans="1:18" x14ac:dyDescent="0.35">
      <c r="A562">
        <v>1074</v>
      </c>
      <c r="B562" s="1">
        <v>44930</v>
      </c>
      <c r="C562" s="1" t="str">
        <f>TEXT(Sales[[#This Row],[Sale_Date]],"YYYY")</f>
        <v>2023</v>
      </c>
      <c r="D562" s="1" t="str">
        <f>TEXT(Sales[[#This Row],[Sale_Date]],"MMMM")</f>
        <v>January</v>
      </c>
      <c r="E562" s="1" t="str">
        <f>TEXT(Sales[[#This Row],[Sale_Date]],"DDDD")</f>
        <v>Wednesday</v>
      </c>
      <c r="F562" t="s">
        <v>37</v>
      </c>
      <c r="G562" t="s">
        <v>24</v>
      </c>
      <c r="H562" s="2">
        <v>7508.72</v>
      </c>
      <c r="I562">
        <v>38</v>
      </c>
      <c r="J562" t="s">
        <v>15</v>
      </c>
      <c r="K562" s="2">
        <v>1394.74</v>
      </c>
      <c r="L562" s="2">
        <v>1848.69</v>
      </c>
      <c r="M562" t="s">
        <v>16</v>
      </c>
      <c r="N562">
        <v>0</v>
      </c>
      <c r="O562" s="2">
        <f>(Sales[[#This Row],[Unit_Price]]-Sales[[#This Row],[Discount]]*Sales[[#This Row],[Unit_Price]])</f>
        <v>1848.69</v>
      </c>
      <c r="P562" t="s">
        <v>26</v>
      </c>
      <c r="Q562" t="s">
        <v>21</v>
      </c>
      <c r="R562" t="s">
        <v>38</v>
      </c>
    </row>
    <row r="563" spans="1:18" x14ac:dyDescent="0.35">
      <c r="A563">
        <v>1043</v>
      </c>
      <c r="B563" s="1">
        <v>45275</v>
      </c>
      <c r="C563" s="1" t="str">
        <f>TEXT(Sales[[#This Row],[Sale_Date]],"YYYY")</f>
        <v>2023</v>
      </c>
      <c r="D563" s="1" t="str">
        <f>TEXT(Sales[[#This Row],[Sale_Date]],"MMMM")</f>
        <v>December</v>
      </c>
      <c r="E563" s="1" t="str">
        <f>TEXT(Sales[[#This Row],[Sale_Date]],"DDDD")</f>
        <v>Friday</v>
      </c>
      <c r="F563" t="s">
        <v>23</v>
      </c>
      <c r="G563" t="s">
        <v>20</v>
      </c>
      <c r="H563" s="2">
        <v>4448.18</v>
      </c>
      <c r="I563">
        <v>6</v>
      </c>
      <c r="J563" t="s">
        <v>28</v>
      </c>
      <c r="K563" s="2">
        <v>563.59</v>
      </c>
      <c r="L563" s="2">
        <v>838.97</v>
      </c>
      <c r="M563" t="s">
        <v>29</v>
      </c>
      <c r="N563">
        <v>0.17</v>
      </c>
      <c r="O563" s="2">
        <f>(Sales[[#This Row],[Unit_Price]]-Sales[[#This Row],[Discount]]*Sales[[#This Row],[Unit_Price]])</f>
        <v>696.3451</v>
      </c>
      <c r="P563" t="s">
        <v>30</v>
      </c>
      <c r="Q563" t="s">
        <v>18</v>
      </c>
      <c r="R563" t="s">
        <v>46</v>
      </c>
    </row>
    <row r="564" spans="1:18" x14ac:dyDescent="0.35">
      <c r="A564">
        <v>1044</v>
      </c>
      <c r="B564" s="1">
        <v>45136</v>
      </c>
      <c r="C564" s="1" t="str">
        <f>TEXT(Sales[[#This Row],[Sale_Date]],"YYYY")</f>
        <v>2023</v>
      </c>
      <c r="D564" s="1" t="str">
        <f>TEXT(Sales[[#This Row],[Sale_Date]],"MMMM")</f>
        <v>July</v>
      </c>
      <c r="E564" s="1" t="str">
        <f>TEXT(Sales[[#This Row],[Sale_Date]],"DDDD")</f>
        <v>Saturday</v>
      </c>
      <c r="F564" t="s">
        <v>41</v>
      </c>
      <c r="G564" t="s">
        <v>14</v>
      </c>
      <c r="H564" s="2">
        <v>6144.41</v>
      </c>
      <c r="I564">
        <v>47</v>
      </c>
      <c r="J564" t="s">
        <v>34</v>
      </c>
      <c r="K564" s="2">
        <v>1512.34</v>
      </c>
      <c r="L564" s="2">
        <v>1830.76</v>
      </c>
      <c r="M564" t="s">
        <v>29</v>
      </c>
      <c r="N564">
        <v>0.12</v>
      </c>
      <c r="O564" s="2">
        <f>(Sales[[#This Row],[Unit_Price]]-Sales[[#This Row],[Discount]]*Sales[[#This Row],[Unit_Price]])</f>
        <v>1611.0688</v>
      </c>
      <c r="P564" t="s">
        <v>26</v>
      </c>
      <c r="Q564" t="s">
        <v>18</v>
      </c>
      <c r="R564" t="s">
        <v>48</v>
      </c>
    </row>
    <row r="565" spans="1:18" x14ac:dyDescent="0.35">
      <c r="A565">
        <v>1029</v>
      </c>
      <c r="B565" s="1">
        <v>45087</v>
      </c>
      <c r="C565" s="1" t="str">
        <f>TEXT(Sales[[#This Row],[Sale_Date]],"YYYY")</f>
        <v>2023</v>
      </c>
      <c r="D565" s="1" t="str">
        <f>TEXT(Sales[[#This Row],[Sale_Date]],"MMMM")</f>
        <v>June</v>
      </c>
      <c r="E565" s="1" t="str">
        <f>TEXT(Sales[[#This Row],[Sale_Date]],"DDDD")</f>
        <v>Saturday</v>
      </c>
      <c r="F565" t="s">
        <v>37</v>
      </c>
      <c r="G565" t="s">
        <v>33</v>
      </c>
      <c r="H565" s="2">
        <v>1687.62</v>
      </c>
      <c r="I565">
        <v>15</v>
      </c>
      <c r="J565" t="s">
        <v>28</v>
      </c>
      <c r="K565" s="2">
        <v>498.27</v>
      </c>
      <c r="L565" s="2">
        <v>634.16</v>
      </c>
      <c r="M565" t="s">
        <v>16</v>
      </c>
      <c r="N565">
        <v>0.11</v>
      </c>
      <c r="O565" s="2">
        <f>(Sales[[#This Row],[Unit_Price]]-Sales[[#This Row],[Discount]]*Sales[[#This Row],[Unit_Price]])</f>
        <v>564.40239999999994</v>
      </c>
      <c r="P565" t="s">
        <v>30</v>
      </c>
      <c r="Q565" t="s">
        <v>21</v>
      </c>
      <c r="R565" t="s">
        <v>47</v>
      </c>
    </row>
    <row r="566" spans="1:18" x14ac:dyDescent="0.35">
      <c r="A566">
        <v>1013</v>
      </c>
      <c r="B566" s="1">
        <v>44942</v>
      </c>
      <c r="C566" s="1" t="str">
        <f>TEXT(Sales[[#This Row],[Sale_Date]],"YYYY")</f>
        <v>2023</v>
      </c>
      <c r="D566" s="1" t="str">
        <f>TEXT(Sales[[#This Row],[Sale_Date]],"MMMM")</f>
        <v>January</v>
      </c>
      <c r="E566" s="1" t="str">
        <f>TEXT(Sales[[#This Row],[Sale_Date]],"DDDD")</f>
        <v>Monday</v>
      </c>
      <c r="F566" t="s">
        <v>37</v>
      </c>
      <c r="G566" t="s">
        <v>33</v>
      </c>
      <c r="H566" s="2">
        <v>6769.09</v>
      </c>
      <c r="I566">
        <v>20</v>
      </c>
      <c r="J566" t="s">
        <v>28</v>
      </c>
      <c r="K566" s="2">
        <v>3356.62</v>
      </c>
      <c r="L566" s="2">
        <v>3759.0099999999902</v>
      </c>
      <c r="M566" t="s">
        <v>16</v>
      </c>
      <c r="N566">
        <v>0.05</v>
      </c>
      <c r="O566" s="2">
        <f>(Sales[[#This Row],[Unit_Price]]-Sales[[#This Row],[Discount]]*Sales[[#This Row],[Unit_Price]])</f>
        <v>3571.0594999999907</v>
      </c>
      <c r="P566" t="s">
        <v>30</v>
      </c>
      <c r="Q566" t="s">
        <v>21</v>
      </c>
      <c r="R566" t="s">
        <v>47</v>
      </c>
    </row>
    <row r="567" spans="1:18" x14ac:dyDescent="0.35">
      <c r="A567">
        <v>1012</v>
      </c>
      <c r="B567" s="1">
        <v>45034</v>
      </c>
      <c r="C567" s="1" t="str">
        <f>TEXT(Sales[[#This Row],[Sale_Date]],"YYYY")</f>
        <v>2023</v>
      </c>
      <c r="D567" s="1" t="str">
        <f>TEXT(Sales[[#This Row],[Sale_Date]],"MMMM")</f>
        <v>April</v>
      </c>
      <c r="E567" s="1" t="str">
        <f>TEXT(Sales[[#This Row],[Sale_Date]],"DDDD")</f>
        <v>Tuesday</v>
      </c>
      <c r="F567" t="s">
        <v>41</v>
      </c>
      <c r="G567" t="s">
        <v>24</v>
      </c>
      <c r="H567" s="2">
        <v>1874.61</v>
      </c>
      <c r="I567">
        <v>9</v>
      </c>
      <c r="J567" t="s">
        <v>34</v>
      </c>
      <c r="K567" s="2">
        <v>709.97</v>
      </c>
      <c r="L567" s="2">
        <v>1029.71</v>
      </c>
      <c r="M567" t="s">
        <v>16</v>
      </c>
      <c r="N567">
        <v>0.13</v>
      </c>
      <c r="O567" s="2">
        <f>(Sales[[#This Row],[Unit_Price]]-Sales[[#This Row],[Discount]]*Sales[[#This Row],[Unit_Price]])</f>
        <v>895.84770000000003</v>
      </c>
      <c r="P567" t="s">
        <v>26</v>
      </c>
      <c r="Q567" t="s">
        <v>21</v>
      </c>
      <c r="R567" t="s">
        <v>42</v>
      </c>
    </row>
    <row r="568" spans="1:18" x14ac:dyDescent="0.35">
      <c r="A568">
        <v>1095</v>
      </c>
      <c r="B568" s="1">
        <v>45237</v>
      </c>
      <c r="C568" s="1" t="str">
        <f>TEXT(Sales[[#This Row],[Sale_Date]],"YYYY")</f>
        <v>2023</v>
      </c>
      <c r="D568" s="1" t="str">
        <f>TEXT(Sales[[#This Row],[Sale_Date]],"MMMM")</f>
        <v>November</v>
      </c>
      <c r="E568" s="1" t="str">
        <f>TEXT(Sales[[#This Row],[Sale_Date]],"DDDD")</f>
        <v>Tuesday</v>
      </c>
      <c r="F568" t="s">
        <v>32</v>
      </c>
      <c r="G568" t="s">
        <v>20</v>
      </c>
      <c r="H568" s="2">
        <v>6970.1</v>
      </c>
      <c r="I568">
        <v>32</v>
      </c>
      <c r="J568" t="s">
        <v>28</v>
      </c>
      <c r="K568" s="2">
        <v>4266.6400000000003</v>
      </c>
      <c r="L568" s="2">
        <v>4523.3599999999997</v>
      </c>
      <c r="M568" t="s">
        <v>29</v>
      </c>
      <c r="N568">
        <v>0.3</v>
      </c>
      <c r="O568" s="2">
        <f>(Sales[[#This Row],[Unit_Price]]-Sales[[#This Row],[Discount]]*Sales[[#This Row],[Unit_Price]])</f>
        <v>3166.3519999999999</v>
      </c>
      <c r="P568" t="s">
        <v>26</v>
      </c>
      <c r="Q568" t="s">
        <v>21</v>
      </c>
      <c r="R568" t="s">
        <v>36</v>
      </c>
    </row>
    <row r="569" spans="1:18" x14ac:dyDescent="0.35">
      <c r="A569">
        <v>1046</v>
      </c>
      <c r="B569" s="1">
        <v>45153</v>
      </c>
      <c r="C569" s="1" t="str">
        <f>TEXT(Sales[[#This Row],[Sale_Date]],"YYYY")</f>
        <v>2023</v>
      </c>
      <c r="D569" s="1" t="str">
        <f>TEXT(Sales[[#This Row],[Sale_Date]],"MMMM")</f>
        <v>August</v>
      </c>
      <c r="E569" s="1" t="str">
        <f>TEXT(Sales[[#This Row],[Sale_Date]],"DDDD")</f>
        <v>Tuesday</v>
      </c>
      <c r="F569" t="s">
        <v>41</v>
      </c>
      <c r="G569" t="s">
        <v>24</v>
      </c>
      <c r="H569" s="2">
        <v>2373.02</v>
      </c>
      <c r="I569">
        <v>4</v>
      </c>
      <c r="J569" t="s">
        <v>15</v>
      </c>
      <c r="K569" s="2">
        <v>4095.1</v>
      </c>
      <c r="L569" s="2">
        <v>4134.55</v>
      </c>
      <c r="M569" t="s">
        <v>16</v>
      </c>
      <c r="N569">
        <v>0.09</v>
      </c>
      <c r="O569" s="2">
        <f>(Sales[[#This Row],[Unit_Price]]-Sales[[#This Row],[Discount]]*Sales[[#This Row],[Unit_Price]])</f>
        <v>3762.4405000000002</v>
      </c>
      <c r="P569" t="s">
        <v>26</v>
      </c>
      <c r="Q569" t="s">
        <v>21</v>
      </c>
      <c r="R569" t="s">
        <v>42</v>
      </c>
    </row>
    <row r="570" spans="1:18" x14ac:dyDescent="0.35">
      <c r="A570">
        <v>1002</v>
      </c>
      <c r="B570" s="1">
        <v>45096</v>
      </c>
      <c r="C570" s="1" t="str">
        <f>TEXT(Sales[[#This Row],[Sale_Date]],"YYYY")</f>
        <v>2023</v>
      </c>
      <c r="D570" s="1" t="str">
        <f>TEXT(Sales[[#This Row],[Sale_Date]],"MMMM")</f>
        <v>June</v>
      </c>
      <c r="E570" s="1" t="str">
        <f>TEXT(Sales[[#This Row],[Sale_Date]],"DDDD")</f>
        <v>Monday</v>
      </c>
      <c r="F570" t="s">
        <v>37</v>
      </c>
      <c r="G570" t="s">
        <v>20</v>
      </c>
      <c r="H570" s="2">
        <v>1263.76</v>
      </c>
      <c r="I570">
        <v>18</v>
      </c>
      <c r="J570" t="s">
        <v>25</v>
      </c>
      <c r="K570" s="2">
        <v>117.63</v>
      </c>
      <c r="L570" s="2">
        <v>576.44000000000005</v>
      </c>
      <c r="M570" t="s">
        <v>29</v>
      </c>
      <c r="N570">
        <v>0.18</v>
      </c>
      <c r="O570" s="2">
        <f>(Sales[[#This Row],[Unit_Price]]-Sales[[#This Row],[Discount]]*Sales[[#This Row],[Unit_Price]])</f>
        <v>472.68080000000003</v>
      </c>
      <c r="P570" t="s">
        <v>30</v>
      </c>
      <c r="Q570" t="s">
        <v>21</v>
      </c>
      <c r="R570" t="s">
        <v>40</v>
      </c>
    </row>
    <row r="571" spans="1:18" x14ac:dyDescent="0.35">
      <c r="A571">
        <v>1035</v>
      </c>
      <c r="B571" s="1">
        <v>44960</v>
      </c>
      <c r="C571" s="1" t="str">
        <f>TEXT(Sales[[#This Row],[Sale_Date]],"YYYY")</f>
        <v>2023</v>
      </c>
      <c r="D571" s="1" t="str">
        <f>TEXT(Sales[[#This Row],[Sale_Date]],"MMMM")</f>
        <v>February</v>
      </c>
      <c r="E571" s="1" t="str">
        <f>TEXT(Sales[[#This Row],[Sale_Date]],"DDDD")</f>
        <v>Friday</v>
      </c>
      <c r="F571" t="s">
        <v>32</v>
      </c>
      <c r="G571" t="s">
        <v>14</v>
      </c>
      <c r="H571" s="2">
        <v>1736.32</v>
      </c>
      <c r="I571">
        <v>5</v>
      </c>
      <c r="J571" t="s">
        <v>25</v>
      </c>
      <c r="K571" s="2">
        <v>4483.8500000000004</v>
      </c>
      <c r="L571" s="2">
        <v>4795.42</v>
      </c>
      <c r="M571" t="s">
        <v>16</v>
      </c>
      <c r="N571">
        <v>0.23</v>
      </c>
      <c r="O571" s="2">
        <f>(Sales[[#This Row],[Unit_Price]]-Sales[[#This Row],[Discount]]*Sales[[#This Row],[Unit_Price]])</f>
        <v>3692.4733999999999</v>
      </c>
      <c r="P571" t="s">
        <v>17</v>
      </c>
      <c r="Q571" t="s">
        <v>18</v>
      </c>
      <c r="R571" t="s">
        <v>52</v>
      </c>
    </row>
    <row r="572" spans="1:18" x14ac:dyDescent="0.35">
      <c r="A572">
        <v>1087</v>
      </c>
      <c r="B572" s="1">
        <v>45177</v>
      </c>
      <c r="C572" s="1" t="str">
        <f>TEXT(Sales[[#This Row],[Sale_Date]],"YYYY")</f>
        <v>2023</v>
      </c>
      <c r="D572" s="1" t="str">
        <f>TEXT(Sales[[#This Row],[Sale_Date]],"MMMM")</f>
        <v>September</v>
      </c>
      <c r="E572" s="1" t="str">
        <f>TEXT(Sales[[#This Row],[Sale_Date]],"DDDD")</f>
        <v>Friday</v>
      </c>
      <c r="F572" t="s">
        <v>32</v>
      </c>
      <c r="G572" t="s">
        <v>14</v>
      </c>
      <c r="H572" s="2">
        <v>119.72</v>
      </c>
      <c r="I572">
        <v>20</v>
      </c>
      <c r="J572" t="s">
        <v>28</v>
      </c>
      <c r="K572" s="2">
        <v>193.27</v>
      </c>
      <c r="L572" s="2">
        <v>297.69</v>
      </c>
      <c r="M572" t="s">
        <v>29</v>
      </c>
      <c r="N572">
        <v>0.22</v>
      </c>
      <c r="O572" s="2">
        <f>(Sales[[#This Row],[Unit_Price]]-Sales[[#This Row],[Discount]]*Sales[[#This Row],[Unit_Price]])</f>
        <v>232.19819999999999</v>
      </c>
      <c r="P572" t="s">
        <v>17</v>
      </c>
      <c r="Q572" t="s">
        <v>18</v>
      </c>
      <c r="R572" t="s">
        <v>52</v>
      </c>
    </row>
    <row r="573" spans="1:18" x14ac:dyDescent="0.35">
      <c r="A573">
        <v>1081</v>
      </c>
      <c r="B573" s="1">
        <v>45173</v>
      </c>
      <c r="C573" s="1" t="str">
        <f>TEXT(Sales[[#This Row],[Sale_Date]],"YYYY")</f>
        <v>2023</v>
      </c>
      <c r="D573" s="1" t="str">
        <f>TEXT(Sales[[#This Row],[Sale_Date]],"MMMM")</f>
        <v>September</v>
      </c>
      <c r="E573" s="1" t="str">
        <f>TEXT(Sales[[#This Row],[Sale_Date]],"DDDD")</f>
        <v>Monday</v>
      </c>
      <c r="F573" t="s">
        <v>41</v>
      </c>
      <c r="G573" t="s">
        <v>14</v>
      </c>
      <c r="H573" s="2">
        <v>7215.52</v>
      </c>
      <c r="I573">
        <v>23</v>
      </c>
      <c r="J573" t="s">
        <v>34</v>
      </c>
      <c r="K573" s="2">
        <v>1236.25</v>
      </c>
      <c r="L573" s="2">
        <v>1543.38</v>
      </c>
      <c r="M573" t="s">
        <v>29</v>
      </c>
      <c r="N573">
        <v>0.1</v>
      </c>
      <c r="O573" s="2">
        <f>(Sales[[#This Row],[Unit_Price]]-Sales[[#This Row],[Discount]]*Sales[[#This Row],[Unit_Price]])</f>
        <v>1389.0420000000001</v>
      </c>
      <c r="P573" t="s">
        <v>26</v>
      </c>
      <c r="Q573" t="s">
        <v>18</v>
      </c>
      <c r="R573" t="s">
        <v>48</v>
      </c>
    </row>
    <row r="574" spans="1:18" x14ac:dyDescent="0.35">
      <c r="A574">
        <v>1090</v>
      </c>
      <c r="B574" s="1">
        <v>45195</v>
      </c>
      <c r="C574" s="1" t="str">
        <f>TEXT(Sales[[#This Row],[Sale_Date]],"YYYY")</f>
        <v>2023</v>
      </c>
      <c r="D574" s="1" t="str">
        <f>TEXT(Sales[[#This Row],[Sale_Date]],"MMMM")</f>
        <v>September</v>
      </c>
      <c r="E574" s="1" t="str">
        <f>TEXT(Sales[[#This Row],[Sale_Date]],"DDDD")</f>
        <v>Tuesday</v>
      </c>
      <c r="F574" t="s">
        <v>37</v>
      </c>
      <c r="G574" t="s">
        <v>14</v>
      </c>
      <c r="H574" s="2">
        <v>7350.77</v>
      </c>
      <c r="I574">
        <v>11</v>
      </c>
      <c r="J574" t="s">
        <v>34</v>
      </c>
      <c r="K574" s="2">
        <v>210.33</v>
      </c>
      <c r="L574" s="2">
        <v>552.29</v>
      </c>
      <c r="M574" t="s">
        <v>16</v>
      </c>
      <c r="N574">
        <v>0.18</v>
      </c>
      <c r="O574" s="2">
        <f>(Sales[[#This Row],[Unit_Price]]-Sales[[#This Row],[Discount]]*Sales[[#This Row],[Unit_Price]])</f>
        <v>452.87779999999998</v>
      </c>
      <c r="P574" t="s">
        <v>17</v>
      </c>
      <c r="Q574" t="s">
        <v>21</v>
      </c>
      <c r="R574" t="s">
        <v>39</v>
      </c>
    </row>
    <row r="575" spans="1:18" x14ac:dyDescent="0.35">
      <c r="A575">
        <v>1008</v>
      </c>
      <c r="B575" s="1">
        <v>45067</v>
      </c>
      <c r="C575" s="1" t="str">
        <f>TEXT(Sales[[#This Row],[Sale_Date]],"YYYY")</f>
        <v>2023</v>
      </c>
      <c r="D575" s="1" t="str">
        <f>TEXT(Sales[[#This Row],[Sale_Date]],"MMMM")</f>
        <v>May</v>
      </c>
      <c r="E575" s="1" t="str">
        <f>TEXT(Sales[[#This Row],[Sale_Date]],"DDDD")</f>
        <v>Sunday</v>
      </c>
      <c r="F575" t="s">
        <v>23</v>
      </c>
      <c r="G575" t="s">
        <v>33</v>
      </c>
      <c r="H575" s="2">
        <v>5197.84</v>
      </c>
      <c r="I575">
        <v>37</v>
      </c>
      <c r="J575" t="s">
        <v>15</v>
      </c>
      <c r="K575" s="2">
        <v>1712.43</v>
      </c>
      <c r="L575" s="2">
        <v>1980.06</v>
      </c>
      <c r="M575" t="s">
        <v>29</v>
      </c>
      <c r="N575">
        <v>0.26</v>
      </c>
      <c r="O575" s="2">
        <f>(Sales[[#This Row],[Unit_Price]]-Sales[[#This Row],[Discount]]*Sales[[#This Row],[Unit_Price]])</f>
        <v>1465.2444</v>
      </c>
      <c r="P575" t="s">
        <v>17</v>
      </c>
      <c r="Q575" t="s">
        <v>18</v>
      </c>
      <c r="R575" t="s">
        <v>49</v>
      </c>
    </row>
    <row r="576" spans="1:18" x14ac:dyDescent="0.35">
      <c r="A576">
        <v>1093</v>
      </c>
      <c r="B576" s="1">
        <v>45200</v>
      </c>
      <c r="C576" s="1" t="str">
        <f>TEXT(Sales[[#This Row],[Sale_Date]],"YYYY")</f>
        <v>2023</v>
      </c>
      <c r="D576" s="1" t="str">
        <f>TEXT(Sales[[#This Row],[Sale_Date]],"MMMM")</f>
        <v>October</v>
      </c>
      <c r="E576" s="1" t="str">
        <f>TEXT(Sales[[#This Row],[Sale_Date]],"DDDD")</f>
        <v>Sunday</v>
      </c>
      <c r="F576" t="s">
        <v>37</v>
      </c>
      <c r="G576" t="s">
        <v>33</v>
      </c>
      <c r="H576" s="2">
        <v>1697.49</v>
      </c>
      <c r="I576">
        <v>22</v>
      </c>
      <c r="J576" t="s">
        <v>34</v>
      </c>
      <c r="K576" s="2">
        <v>2593.64</v>
      </c>
      <c r="L576" s="2">
        <v>2955.5099999999902</v>
      </c>
      <c r="M576" t="s">
        <v>16</v>
      </c>
      <c r="N576">
        <v>0</v>
      </c>
      <c r="O576" s="2">
        <f>(Sales[[#This Row],[Unit_Price]]-Sales[[#This Row],[Discount]]*Sales[[#This Row],[Unit_Price]])</f>
        <v>2955.5099999999902</v>
      </c>
      <c r="P576" t="s">
        <v>26</v>
      </c>
      <c r="Q576" t="s">
        <v>21</v>
      </c>
      <c r="R576" t="s">
        <v>47</v>
      </c>
    </row>
    <row r="577" spans="1:18" x14ac:dyDescent="0.35">
      <c r="A577">
        <v>1026</v>
      </c>
      <c r="B577" s="1">
        <v>45022</v>
      </c>
      <c r="C577" s="1" t="str">
        <f>TEXT(Sales[[#This Row],[Sale_Date]],"YYYY")</f>
        <v>2023</v>
      </c>
      <c r="D577" s="1" t="str">
        <f>TEXT(Sales[[#This Row],[Sale_Date]],"MMMM")</f>
        <v>April</v>
      </c>
      <c r="E577" s="1" t="str">
        <f>TEXT(Sales[[#This Row],[Sale_Date]],"DDDD")</f>
        <v>Thursday</v>
      </c>
      <c r="F577" t="s">
        <v>13</v>
      </c>
      <c r="G577" t="s">
        <v>24</v>
      </c>
      <c r="H577" s="2">
        <v>927.19</v>
      </c>
      <c r="I577">
        <v>4</v>
      </c>
      <c r="J577" t="s">
        <v>34</v>
      </c>
      <c r="K577" s="2">
        <v>3993.39</v>
      </c>
      <c r="L577" s="2">
        <v>4288.3</v>
      </c>
      <c r="M577" t="s">
        <v>29</v>
      </c>
      <c r="N577">
        <v>0.13</v>
      </c>
      <c r="O577" s="2">
        <f>(Sales[[#This Row],[Unit_Price]]-Sales[[#This Row],[Discount]]*Sales[[#This Row],[Unit_Price]])</f>
        <v>3730.8209999999999</v>
      </c>
      <c r="P577" t="s">
        <v>30</v>
      </c>
      <c r="Q577" t="s">
        <v>18</v>
      </c>
      <c r="R577" t="s">
        <v>31</v>
      </c>
    </row>
    <row r="578" spans="1:18" x14ac:dyDescent="0.35">
      <c r="A578">
        <v>1074</v>
      </c>
      <c r="B578" s="1">
        <v>45153</v>
      </c>
      <c r="C578" s="1" t="str">
        <f>TEXT(Sales[[#This Row],[Sale_Date]],"YYYY")</f>
        <v>2023</v>
      </c>
      <c r="D578" s="1" t="str">
        <f>TEXT(Sales[[#This Row],[Sale_Date]],"MMMM")</f>
        <v>August</v>
      </c>
      <c r="E578" s="1" t="str">
        <f>TEXT(Sales[[#This Row],[Sale_Date]],"DDDD")</f>
        <v>Tuesday</v>
      </c>
      <c r="F578" t="s">
        <v>23</v>
      </c>
      <c r="G578" t="s">
        <v>20</v>
      </c>
      <c r="H578" s="2">
        <v>289.38</v>
      </c>
      <c r="I578">
        <v>29</v>
      </c>
      <c r="J578" t="s">
        <v>15</v>
      </c>
      <c r="K578" s="2">
        <v>1723.01</v>
      </c>
      <c r="L578" s="2">
        <v>2197.42</v>
      </c>
      <c r="M578" t="s">
        <v>29</v>
      </c>
      <c r="N578">
        <v>7.0000000000000007E-2</v>
      </c>
      <c r="O578" s="2">
        <f>(Sales[[#This Row],[Unit_Price]]-Sales[[#This Row],[Discount]]*Sales[[#This Row],[Unit_Price]])</f>
        <v>2043.6006</v>
      </c>
      <c r="P578" t="s">
        <v>26</v>
      </c>
      <c r="Q578" t="s">
        <v>21</v>
      </c>
      <c r="R578" t="s">
        <v>46</v>
      </c>
    </row>
    <row r="579" spans="1:18" x14ac:dyDescent="0.35">
      <c r="A579">
        <v>1090</v>
      </c>
      <c r="B579" s="1">
        <v>44965</v>
      </c>
      <c r="C579" s="1" t="str">
        <f>TEXT(Sales[[#This Row],[Sale_Date]],"YYYY")</f>
        <v>2023</v>
      </c>
      <c r="D579" s="1" t="str">
        <f>TEXT(Sales[[#This Row],[Sale_Date]],"MMMM")</f>
        <v>February</v>
      </c>
      <c r="E579" s="1" t="str">
        <f>TEXT(Sales[[#This Row],[Sale_Date]],"DDDD")</f>
        <v>Wednesday</v>
      </c>
      <c r="F579" t="s">
        <v>32</v>
      </c>
      <c r="G579" t="s">
        <v>14</v>
      </c>
      <c r="H579" s="2">
        <v>1740.91</v>
      </c>
      <c r="I579">
        <v>44</v>
      </c>
      <c r="J579" t="s">
        <v>28</v>
      </c>
      <c r="K579" s="2">
        <v>3542.18</v>
      </c>
      <c r="L579" s="2">
        <v>3578.49</v>
      </c>
      <c r="M579" t="s">
        <v>16</v>
      </c>
      <c r="N579">
        <v>0.12</v>
      </c>
      <c r="O579" s="2">
        <f>(Sales[[#This Row],[Unit_Price]]-Sales[[#This Row],[Discount]]*Sales[[#This Row],[Unit_Price]])</f>
        <v>3149.0711999999999</v>
      </c>
      <c r="P579" t="s">
        <v>17</v>
      </c>
      <c r="Q579" t="s">
        <v>18</v>
      </c>
      <c r="R579" t="s">
        <v>52</v>
      </c>
    </row>
    <row r="580" spans="1:18" x14ac:dyDescent="0.35">
      <c r="A580">
        <v>1034</v>
      </c>
      <c r="B580" s="1">
        <v>45228</v>
      </c>
      <c r="C580" s="1" t="str">
        <f>TEXT(Sales[[#This Row],[Sale_Date]],"YYYY")</f>
        <v>2023</v>
      </c>
      <c r="D580" s="1" t="str">
        <f>TEXT(Sales[[#This Row],[Sale_Date]],"MMMM")</f>
        <v>October</v>
      </c>
      <c r="E580" s="1" t="str">
        <f>TEXT(Sales[[#This Row],[Sale_Date]],"DDDD")</f>
        <v>Sunday</v>
      </c>
      <c r="F580" t="s">
        <v>23</v>
      </c>
      <c r="G580" t="s">
        <v>14</v>
      </c>
      <c r="H580" s="2">
        <v>8919.4699999999993</v>
      </c>
      <c r="I580">
        <v>34</v>
      </c>
      <c r="J580" t="s">
        <v>25</v>
      </c>
      <c r="K580" s="2">
        <v>978.15</v>
      </c>
      <c r="L580" s="2">
        <v>1040.21</v>
      </c>
      <c r="M580" t="s">
        <v>29</v>
      </c>
      <c r="N580">
        <v>0.12</v>
      </c>
      <c r="O580" s="2">
        <f>(Sales[[#This Row],[Unit_Price]]-Sales[[#This Row],[Discount]]*Sales[[#This Row],[Unit_Price]])</f>
        <v>915.38480000000004</v>
      </c>
      <c r="P580" t="s">
        <v>30</v>
      </c>
      <c r="Q580" t="s">
        <v>21</v>
      </c>
      <c r="R580" t="s">
        <v>44</v>
      </c>
    </row>
    <row r="581" spans="1:18" x14ac:dyDescent="0.35">
      <c r="A581">
        <v>1007</v>
      </c>
      <c r="B581" s="1">
        <v>44955</v>
      </c>
      <c r="C581" s="1" t="str">
        <f>TEXT(Sales[[#This Row],[Sale_Date]],"YYYY")</f>
        <v>2023</v>
      </c>
      <c r="D581" s="1" t="str">
        <f>TEXT(Sales[[#This Row],[Sale_Date]],"MMMM")</f>
        <v>January</v>
      </c>
      <c r="E581" s="1" t="str">
        <f>TEXT(Sales[[#This Row],[Sale_Date]],"DDDD")</f>
        <v>Sunday</v>
      </c>
      <c r="F581" t="s">
        <v>32</v>
      </c>
      <c r="G581" t="s">
        <v>20</v>
      </c>
      <c r="H581" s="2">
        <v>2491.21</v>
      </c>
      <c r="I581">
        <v>13</v>
      </c>
      <c r="J581" t="s">
        <v>15</v>
      </c>
      <c r="K581" s="2">
        <v>3765.46</v>
      </c>
      <c r="L581" s="2">
        <v>3860.56</v>
      </c>
      <c r="M581" t="s">
        <v>16</v>
      </c>
      <c r="N581">
        <v>0.22</v>
      </c>
      <c r="O581" s="2">
        <f>(Sales[[#This Row],[Unit_Price]]-Sales[[#This Row],[Discount]]*Sales[[#This Row],[Unit_Price]])</f>
        <v>3011.2367999999997</v>
      </c>
      <c r="P581" t="s">
        <v>17</v>
      </c>
      <c r="Q581" t="s">
        <v>21</v>
      </c>
      <c r="R581" t="s">
        <v>36</v>
      </c>
    </row>
    <row r="582" spans="1:18" x14ac:dyDescent="0.35">
      <c r="A582">
        <v>1068</v>
      </c>
      <c r="B582" s="1">
        <v>45244</v>
      </c>
      <c r="C582" s="1" t="str">
        <f>TEXT(Sales[[#This Row],[Sale_Date]],"YYYY")</f>
        <v>2023</v>
      </c>
      <c r="D582" s="1" t="str">
        <f>TEXT(Sales[[#This Row],[Sale_Date]],"MMMM")</f>
        <v>November</v>
      </c>
      <c r="E582" s="1" t="str">
        <f>TEXT(Sales[[#This Row],[Sale_Date]],"DDDD")</f>
        <v>Tuesday</v>
      </c>
      <c r="F582" t="s">
        <v>32</v>
      </c>
      <c r="G582" t="s">
        <v>20</v>
      </c>
      <c r="H582" s="2">
        <v>3607.29</v>
      </c>
      <c r="I582">
        <v>42</v>
      </c>
      <c r="J582" t="s">
        <v>28</v>
      </c>
      <c r="K582" s="2">
        <v>1218.18</v>
      </c>
      <c r="L582" s="2">
        <v>1566.36</v>
      </c>
      <c r="M582" t="s">
        <v>16</v>
      </c>
      <c r="N582">
        <v>0.03</v>
      </c>
      <c r="O582" s="2">
        <f>(Sales[[#This Row],[Unit_Price]]-Sales[[#This Row],[Discount]]*Sales[[#This Row],[Unit_Price]])</f>
        <v>1519.3691999999999</v>
      </c>
      <c r="P582" t="s">
        <v>30</v>
      </c>
      <c r="Q582" t="s">
        <v>21</v>
      </c>
      <c r="R582" t="s">
        <v>36</v>
      </c>
    </row>
    <row r="583" spans="1:18" x14ac:dyDescent="0.35">
      <c r="A583">
        <v>1058</v>
      </c>
      <c r="B583" s="1">
        <v>45171</v>
      </c>
      <c r="C583" s="1" t="str">
        <f>TEXT(Sales[[#This Row],[Sale_Date]],"YYYY")</f>
        <v>2023</v>
      </c>
      <c r="D583" s="1" t="str">
        <f>TEXT(Sales[[#This Row],[Sale_Date]],"MMMM")</f>
        <v>September</v>
      </c>
      <c r="E583" s="1" t="str">
        <f>TEXT(Sales[[#This Row],[Sale_Date]],"DDDD")</f>
        <v>Saturday</v>
      </c>
      <c r="F583" t="s">
        <v>23</v>
      </c>
      <c r="G583" t="s">
        <v>24</v>
      </c>
      <c r="H583" s="2">
        <v>1142.92</v>
      </c>
      <c r="I583">
        <v>9</v>
      </c>
      <c r="J583" t="s">
        <v>15</v>
      </c>
      <c r="K583" s="2">
        <v>760.55</v>
      </c>
      <c r="L583" s="2">
        <v>1086.8899999999901</v>
      </c>
      <c r="M583" t="s">
        <v>16</v>
      </c>
      <c r="N583">
        <v>0.15</v>
      </c>
      <c r="O583" s="2">
        <f>(Sales[[#This Row],[Unit_Price]]-Sales[[#This Row],[Discount]]*Sales[[#This Row],[Unit_Price]])</f>
        <v>923.85649999999157</v>
      </c>
      <c r="P583" t="s">
        <v>17</v>
      </c>
      <c r="Q583" t="s">
        <v>21</v>
      </c>
      <c r="R583" t="s">
        <v>27</v>
      </c>
    </row>
    <row r="584" spans="1:18" x14ac:dyDescent="0.35">
      <c r="A584">
        <v>1075</v>
      </c>
      <c r="B584" s="1">
        <v>45162</v>
      </c>
      <c r="C584" s="1" t="str">
        <f>TEXT(Sales[[#This Row],[Sale_Date]],"YYYY")</f>
        <v>2023</v>
      </c>
      <c r="D584" s="1" t="str">
        <f>TEXT(Sales[[#This Row],[Sale_Date]],"MMMM")</f>
        <v>August</v>
      </c>
      <c r="E584" s="1" t="str">
        <f>TEXT(Sales[[#This Row],[Sale_Date]],"DDDD")</f>
        <v>Thursday</v>
      </c>
      <c r="F584" t="s">
        <v>32</v>
      </c>
      <c r="G584" t="s">
        <v>20</v>
      </c>
      <c r="H584" s="2">
        <v>2301.38</v>
      </c>
      <c r="I584">
        <v>42</v>
      </c>
      <c r="J584" t="s">
        <v>28</v>
      </c>
      <c r="K584" s="2">
        <v>967.77</v>
      </c>
      <c r="L584" s="2">
        <v>1414.88</v>
      </c>
      <c r="M584" t="s">
        <v>29</v>
      </c>
      <c r="N584">
        <v>0.17</v>
      </c>
      <c r="O584" s="2">
        <f>(Sales[[#This Row],[Unit_Price]]-Sales[[#This Row],[Discount]]*Sales[[#This Row],[Unit_Price]])</f>
        <v>1174.3504</v>
      </c>
      <c r="P584" t="s">
        <v>26</v>
      </c>
      <c r="Q584" t="s">
        <v>18</v>
      </c>
      <c r="R584" t="s">
        <v>36</v>
      </c>
    </row>
    <row r="585" spans="1:18" x14ac:dyDescent="0.35">
      <c r="A585">
        <v>1029</v>
      </c>
      <c r="B585" s="1">
        <v>45111</v>
      </c>
      <c r="C585" s="1" t="str">
        <f>TEXT(Sales[[#This Row],[Sale_Date]],"YYYY")</f>
        <v>2023</v>
      </c>
      <c r="D585" s="1" t="str">
        <f>TEXT(Sales[[#This Row],[Sale_Date]],"MMMM")</f>
        <v>July</v>
      </c>
      <c r="E585" s="1" t="str">
        <f>TEXT(Sales[[#This Row],[Sale_Date]],"DDDD")</f>
        <v>Tuesday</v>
      </c>
      <c r="F585" t="s">
        <v>32</v>
      </c>
      <c r="G585" t="s">
        <v>14</v>
      </c>
      <c r="H585" s="2">
        <v>5240.32</v>
      </c>
      <c r="I585">
        <v>31</v>
      </c>
      <c r="J585" t="s">
        <v>15</v>
      </c>
      <c r="K585" s="2">
        <v>951.21</v>
      </c>
      <c r="L585" s="2">
        <v>1320.32</v>
      </c>
      <c r="M585" t="s">
        <v>29</v>
      </c>
      <c r="N585">
        <v>0.15</v>
      </c>
      <c r="O585" s="2">
        <f>(Sales[[#This Row],[Unit_Price]]-Sales[[#This Row],[Discount]]*Sales[[#This Row],[Unit_Price]])</f>
        <v>1122.2719999999999</v>
      </c>
      <c r="P585" t="s">
        <v>17</v>
      </c>
      <c r="Q585" t="s">
        <v>18</v>
      </c>
      <c r="R585" t="s">
        <v>52</v>
      </c>
    </row>
    <row r="586" spans="1:18" x14ac:dyDescent="0.35">
      <c r="A586">
        <v>1036</v>
      </c>
      <c r="B586" s="1">
        <v>45198</v>
      </c>
      <c r="C586" s="1" t="str">
        <f>TEXT(Sales[[#This Row],[Sale_Date]],"YYYY")</f>
        <v>2023</v>
      </c>
      <c r="D586" s="1" t="str">
        <f>TEXT(Sales[[#This Row],[Sale_Date]],"MMMM")</f>
        <v>September</v>
      </c>
      <c r="E586" s="1" t="str">
        <f>TEXT(Sales[[#This Row],[Sale_Date]],"DDDD")</f>
        <v>Friday</v>
      </c>
      <c r="F586" t="s">
        <v>13</v>
      </c>
      <c r="G586" t="s">
        <v>14</v>
      </c>
      <c r="H586" s="2">
        <v>6116.75</v>
      </c>
      <c r="I586">
        <v>7</v>
      </c>
      <c r="J586" t="s">
        <v>28</v>
      </c>
      <c r="K586" s="2">
        <v>2588.67</v>
      </c>
      <c r="L586" s="2">
        <v>2847.76</v>
      </c>
      <c r="M586" t="s">
        <v>29</v>
      </c>
      <c r="N586">
        <v>0.22</v>
      </c>
      <c r="O586" s="2">
        <f>(Sales[[#This Row],[Unit_Price]]-Sales[[#This Row],[Discount]]*Sales[[#This Row],[Unit_Price]])</f>
        <v>2221.2528000000002</v>
      </c>
      <c r="P586" t="s">
        <v>17</v>
      </c>
      <c r="Q586" t="s">
        <v>21</v>
      </c>
      <c r="R586" t="s">
        <v>19</v>
      </c>
    </row>
    <row r="587" spans="1:18" x14ac:dyDescent="0.35">
      <c r="A587">
        <v>1089</v>
      </c>
      <c r="B587" s="1">
        <v>45162</v>
      </c>
      <c r="C587" s="1" t="str">
        <f>TEXT(Sales[[#This Row],[Sale_Date]],"YYYY")</f>
        <v>2023</v>
      </c>
      <c r="D587" s="1" t="str">
        <f>TEXT(Sales[[#This Row],[Sale_Date]],"MMMM")</f>
        <v>August</v>
      </c>
      <c r="E587" s="1" t="str">
        <f>TEXT(Sales[[#This Row],[Sale_Date]],"DDDD")</f>
        <v>Thursday</v>
      </c>
      <c r="F587" t="s">
        <v>37</v>
      </c>
      <c r="G587" t="s">
        <v>14</v>
      </c>
      <c r="H587" s="2">
        <v>2528.9899999999998</v>
      </c>
      <c r="I587">
        <v>4</v>
      </c>
      <c r="J587" t="s">
        <v>15</v>
      </c>
      <c r="K587" s="2">
        <v>4231.75</v>
      </c>
      <c r="L587" s="2">
        <v>4727.75</v>
      </c>
      <c r="M587" t="s">
        <v>16</v>
      </c>
      <c r="N587">
        <v>0.12</v>
      </c>
      <c r="O587" s="2">
        <f>(Sales[[#This Row],[Unit_Price]]-Sales[[#This Row],[Discount]]*Sales[[#This Row],[Unit_Price]])</f>
        <v>4160.42</v>
      </c>
      <c r="P587" t="s">
        <v>30</v>
      </c>
      <c r="Q587" t="s">
        <v>21</v>
      </c>
      <c r="R587" t="s">
        <v>39</v>
      </c>
    </row>
    <row r="588" spans="1:18" x14ac:dyDescent="0.35">
      <c r="A588">
        <v>1021</v>
      </c>
      <c r="B588" s="1">
        <v>45165</v>
      </c>
      <c r="C588" s="1" t="str">
        <f>TEXT(Sales[[#This Row],[Sale_Date]],"YYYY")</f>
        <v>2023</v>
      </c>
      <c r="D588" s="1" t="str">
        <f>TEXT(Sales[[#This Row],[Sale_Date]],"MMMM")</f>
        <v>August</v>
      </c>
      <c r="E588" s="1" t="str">
        <f>TEXT(Sales[[#This Row],[Sale_Date]],"DDDD")</f>
        <v>Sunday</v>
      </c>
      <c r="F588" t="s">
        <v>37</v>
      </c>
      <c r="G588" t="s">
        <v>14</v>
      </c>
      <c r="H588" s="2">
        <v>671.55</v>
      </c>
      <c r="I588">
        <v>19</v>
      </c>
      <c r="J588" t="s">
        <v>28</v>
      </c>
      <c r="K588" s="2">
        <v>444.05</v>
      </c>
      <c r="L588" s="2">
        <v>584.44000000000005</v>
      </c>
      <c r="M588" t="s">
        <v>16</v>
      </c>
      <c r="N588">
        <v>0.28000000000000003</v>
      </c>
      <c r="O588" s="2">
        <f>(Sales[[#This Row],[Unit_Price]]-Sales[[#This Row],[Discount]]*Sales[[#This Row],[Unit_Price]])</f>
        <v>420.79680000000002</v>
      </c>
      <c r="P588" t="s">
        <v>17</v>
      </c>
      <c r="Q588" t="s">
        <v>21</v>
      </c>
      <c r="R588" t="s">
        <v>39</v>
      </c>
    </row>
    <row r="589" spans="1:18" x14ac:dyDescent="0.35">
      <c r="A589">
        <v>1036</v>
      </c>
      <c r="B589" s="1">
        <v>45192</v>
      </c>
      <c r="C589" s="1" t="str">
        <f>TEXT(Sales[[#This Row],[Sale_Date]],"YYYY")</f>
        <v>2023</v>
      </c>
      <c r="D589" s="1" t="str">
        <f>TEXT(Sales[[#This Row],[Sale_Date]],"MMMM")</f>
        <v>September</v>
      </c>
      <c r="E589" s="1" t="str">
        <f>TEXT(Sales[[#This Row],[Sale_Date]],"DDDD")</f>
        <v>Saturday</v>
      </c>
      <c r="F589" t="s">
        <v>13</v>
      </c>
      <c r="G589" t="s">
        <v>14</v>
      </c>
      <c r="H589" s="2">
        <v>3971.23</v>
      </c>
      <c r="I589">
        <v>42</v>
      </c>
      <c r="J589" t="s">
        <v>15</v>
      </c>
      <c r="K589" s="2">
        <v>3549.43</v>
      </c>
      <c r="L589" s="2">
        <v>3967.6899999999901</v>
      </c>
      <c r="M589" t="s">
        <v>29</v>
      </c>
      <c r="N589">
        <v>0.14000000000000001</v>
      </c>
      <c r="O589" s="2">
        <f>(Sales[[#This Row],[Unit_Price]]-Sales[[#This Row],[Discount]]*Sales[[#This Row],[Unit_Price]])</f>
        <v>3412.2133999999915</v>
      </c>
      <c r="P589" t="s">
        <v>26</v>
      </c>
      <c r="Q589" t="s">
        <v>18</v>
      </c>
      <c r="R589" t="s">
        <v>19</v>
      </c>
    </row>
    <row r="590" spans="1:18" x14ac:dyDescent="0.35">
      <c r="A590">
        <v>1010</v>
      </c>
      <c r="B590" s="1">
        <v>45285</v>
      </c>
      <c r="C590" s="1" t="str">
        <f>TEXT(Sales[[#This Row],[Sale_Date]],"YYYY")</f>
        <v>2023</v>
      </c>
      <c r="D590" s="1" t="str">
        <f>TEXT(Sales[[#This Row],[Sale_Date]],"MMMM")</f>
        <v>December</v>
      </c>
      <c r="E590" s="1" t="str">
        <f>TEXT(Sales[[#This Row],[Sale_Date]],"DDDD")</f>
        <v>Monday</v>
      </c>
      <c r="F590" t="s">
        <v>23</v>
      </c>
      <c r="G590" t="s">
        <v>24</v>
      </c>
      <c r="H590" s="2">
        <v>2418.61</v>
      </c>
      <c r="I590">
        <v>30</v>
      </c>
      <c r="J590" t="s">
        <v>25</v>
      </c>
      <c r="K590" s="2">
        <v>3289.01</v>
      </c>
      <c r="L590" s="2">
        <v>3508.14</v>
      </c>
      <c r="M590" t="s">
        <v>29</v>
      </c>
      <c r="N590">
        <v>0.17</v>
      </c>
      <c r="O590" s="2">
        <f>(Sales[[#This Row],[Unit_Price]]-Sales[[#This Row],[Discount]]*Sales[[#This Row],[Unit_Price]])</f>
        <v>2911.7561999999998</v>
      </c>
      <c r="P590" t="s">
        <v>26</v>
      </c>
      <c r="Q590" t="s">
        <v>21</v>
      </c>
      <c r="R590" t="s">
        <v>27</v>
      </c>
    </row>
    <row r="591" spans="1:18" x14ac:dyDescent="0.35">
      <c r="A591">
        <v>1073</v>
      </c>
      <c r="B591" s="1">
        <v>45266</v>
      </c>
      <c r="C591" s="1" t="str">
        <f>TEXT(Sales[[#This Row],[Sale_Date]],"YYYY")</f>
        <v>2023</v>
      </c>
      <c r="D591" s="1" t="str">
        <f>TEXT(Sales[[#This Row],[Sale_Date]],"MMMM")</f>
        <v>December</v>
      </c>
      <c r="E591" s="1" t="str">
        <f>TEXT(Sales[[#This Row],[Sale_Date]],"DDDD")</f>
        <v>Wednesday</v>
      </c>
      <c r="F591" t="s">
        <v>41</v>
      </c>
      <c r="G591" t="s">
        <v>14</v>
      </c>
      <c r="H591" s="2">
        <v>2273.58</v>
      </c>
      <c r="I591">
        <v>31</v>
      </c>
      <c r="J591" t="s">
        <v>25</v>
      </c>
      <c r="K591" s="2">
        <v>4368.97</v>
      </c>
      <c r="L591" s="2">
        <v>4696.8500000000004</v>
      </c>
      <c r="M591" t="s">
        <v>16</v>
      </c>
      <c r="N591">
        <v>0.25</v>
      </c>
      <c r="O591" s="2">
        <f>(Sales[[#This Row],[Unit_Price]]-Sales[[#This Row],[Discount]]*Sales[[#This Row],[Unit_Price]])</f>
        <v>3522.6375000000003</v>
      </c>
      <c r="P591" t="s">
        <v>26</v>
      </c>
      <c r="Q591" t="s">
        <v>21</v>
      </c>
      <c r="R591" t="s">
        <v>48</v>
      </c>
    </row>
    <row r="592" spans="1:18" x14ac:dyDescent="0.35">
      <c r="A592">
        <v>1024</v>
      </c>
      <c r="B592" s="1">
        <v>44991</v>
      </c>
      <c r="C592" s="1" t="str">
        <f>TEXT(Sales[[#This Row],[Sale_Date]],"YYYY")</f>
        <v>2023</v>
      </c>
      <c r="D592" s="1" t="str">
        <f>TEXT(Sales[[#This Row],[Sale_Date]],"MMMM")</f>
        <v>March</v>
      </c>
      <c r="E592" s="1" t="str">
        <f>TEXT(Sales[[#This Row],[Sale_Date]],"DDDD")</f>
        <v>Monday</v>
      </c>
      <c r="F592" t="s">
        <v>41</v>
      </c>
      <c r="G592" t="s">
        <v>24</v>
      </c>
      <c r="H592" s="2">
        <v>9602.64</v>
      </c>
      <c r="I592">
        <v>35</v>
      </c>
      <c r="J592" t="s">
        <v>34</v>
      </c>
      <c r="K592" s="2">
        <v>1258.53</v>
      </c>
      <c r="L592" s="2">
        <v>1624.8899999999901</v>
      </c>
      <c r="M592" t="s">
        <v>29</v>
      </c>
      <c r="N592">
        <v>0.08</v>
      </c>
      <c r="O592" s="2">
        <f>(Sales[[#This Row],[Unit_Price]]-Sales[[#This Row],[Discount]]*Sales[[#This Row],[Unit_Price]])</f>
        <v>1494.8987999999908</v>
      </c>
      <c r="P592" t="s">
        <v>30</v>
      </c>
      <c r="Q592" t="s">
        <v>18</v>
      </c>
      <c r="R592" t="s">
        <v>42</v>
      </c>
    </row>
    <row r="593" spans="1:18" x14ac:dyDescent="0.35">
      <c r="A593">
        <v>1064</v>
      </c>
      <c r="B593" s="1">
        <v>45103</v>
      </c>
      <c r="C593" s="1" t="str">
        <f>TEXT(Sales[[#This Row],[Sale_Date]],"YYYY")</f>
        <v>2023</v>
      </c>
      <c r="D593" s="1" t="str">
        <f>TEXT(Sales[[#This Row],[Sale_Date]],"MMMM")</f>
        <v>June</v>
      </c>
      <c r="E593" s="1" t="str">
        <f>TEXT(Sales[[#This Row],[Sale_Date]],"DDDD")</f>
        <v>Monday</v>
      </c>
      <c r="F593" t="s">
        <v>41</v>
      </c>
      <c r="G593" t="s">
        <v>14</v>
      </c>
      <c r="H593" s="2">
        <v>6201.37</v>
      </c>
      <c r="I593">
        <v>21</v>
      </c>
      <c r="J593" t="s">
        <v>28</v>
      </c>
      <c r="K593" s="2">
        <v>2278.04</v>
      </c>
      <c r="L593" s="2">
        <v>2598.58</v>
      </c>
      <c r="M593" t="s">
        <v>16</v>
      </c>
      <c r="N593">
        <v>0.02</v>
      </c>
      <c r="O593" s="2">
        <f>(Sales[[#This Row],[Unit_Price]]-Sales[[#This Row],[Discount]]*Sales[[#This Row],[Unit_Price]])</f>
        <v>2546.6084000000001</v>
      </c>
      <c r="P593" t="s">
        <v>30</v>
      </c>
      <c r="Q593" t="s">
        <v>21</v>
      </c>
      <c r="R593" t="s">
        <v>48</v>
      </c>
    </row>
    <row r="594" spans="1:18" x14ac:dyDescent="0.35">
      <c r="A594">
        <v>1099</v>
      </c>
      <c r="B594" s="1">
        <v>44929</v>
      </c>
      <c r="C594" s="1" t="str">
        <f>TEXT(Sales[[#This Row],[Sale_Date]],"YYYY")</f>
        <v>2023</v>
      </c>
      <c r="D594" s="1" t="str">
        <f>TEXT(Sales[[#This Row],[Sale_Date]],"MMMM")</f>
        <v>January</v>
      </c>
      <c r="E594" s="1" t="str">
        <f>TEXT(Sales[[#This Row],[Sale_Date]],"DDDD")</f>
        <v>Tuesday</v>
      </c>
      <c r="F594" t="s">
        <v>13</v>
      </c>
      <c r="G594" t="s">
        <v>33</v>
      </c>
      <c r="H594" s="2">
        <v>5613.1</v>
      </c>
      <c r="I594">
        <v>31</v>
      </c>
      <c r="J594" t="s">
        <v>15</v>
      </c>
      <c r="K594" s="2">
        <v>4632.8500000000004</v>
      </c>
      <c r="L594" s="2">
        <v>4711.7</v>
      </c>
      <c r="M594" t="s">
        <v>29</v>
      </c>
      <c r="N594">
        <v>0.21</v>
      </c>
      <c r="O594" s="2">
        <f>(Sales[[#This Row],[Unit_Price]]-Sales[[#This Row],[Discount]]*Sales[[#This Row],[Unit_Price]])</f>
        <v>3722.2429999999999</v>
      </c>
      <c r="P594" t="s">
        <v>17</v>
      </c>
      <c r="Q594" t="s">
        <v>21</v>
      </c>
      <c r="R594" t="s">
        <v>45</v>
      </c>
    </row>
    <row r="595" spans="1:18" x14ac:dyDescent="0.35">
      <c r="A595">
        <v>1049</v>
      </c>
      <c r="B595" s="1">
        <v>45068</v>
      </c>
      <c r="C595" s="1" t="str">
        <f>TEXT(Sales[[#This Row],[Sale_Date]],"YYYY")</f>
        <v>2023</v>
      </c>
      <c r="D595" s="1" t="str">
        <f>TEXT(Sales[[#This Row],[Sale_Date]],"MMMM")</f>
        <v>May</v>
      </c>
      <c r="E595" s="1" t="str">
        <f>TEXT(Sales[[#This Row],[Sale_Date]],"DDDD")</f>
        <v>Monday</v>
      </c>
      <c r="F595" t="s">
        <v>13</v>
      </c>
      <c r="G595" t="s">
        <v>33</v>
      </c>
      <c r="H595" s="2">
        <v>4216.17</v>
      </c>
      <c r="I595">
        <v>19</v>
      </c>
      <c r="J595" t="s">
        <v>28</v>
      </c>
      <c r="K595" s="2">
        <v>3316.97</v>
      </c>
      <c r="L595" s="2">
        <v>3544.02</v>
      </c>
      <c r="M595" t="s">
        <v>16</v>
      </c>
      <c r="N595">
        <v>0.14000000000000001</v>
      </c>
      <c r="O595" s="2">
        <f>(Sales[[#This Row],[Unit_Price]]-Sales[[#This Row],[Discount]]*Sales[[#This Row],[Unit_Price]])</f>
        <v>3047.8571999999999</v>
      </c>
      <c r="P595" t="s">
        <v>17</v>
      </c>
      <c r="Q595" t="s">
        <v>18</v>
      </c>
      <c r="R595" t="s">
        <v>45</v>
      </c>
    </row>
    <row r="596" spans="1:18" x14ac:dyDescent="0.35">
      <c r="A596">
        <v>1099</v>
      </c>
      <c r="B596" s="1">
        <v>45084</v>
      </c>
      <c r="C596" s="1" t="str">
        <f>TEXT(Sales[[#This Row],[Sale_Date]],"YYYY")</f>
        <v>2023</v>
      </c>
      <c r="D596" s="1" t="str">
        <f>TEXT(Sales[[#This Row],[Sale_Date]],"MMMM")</f>
        <v>June</v>
      </c>
      <c r="E596" s="1" t="str">
        <f>TEXT(Sales[[#This Row],[Sale_Date]],"DDDD")</f>
        <v>Wednesday</v>
      </c>
      <c r="F596" t="s">
        <v>32</v>
      </c>
      <c r="G596" t="s">
        <v>33</v>
      </c>
      <c r="H596" s="2">
        <v>4346.55</v>
      </c>
      <c r="I596">
        <v>31</v>
      </c>
      <c r="J596" t="s">
        <v>25</v>
      </c>
      <c r="K596" s="2">
        <v>1974.4</v>
      </c>
      <c r="L596" s="2">
        <v>2259.5</v>
      </c>
      <c r="M596" t="s">
        <v>29</v>
      </c>
      <c r="N596">
        <v>0.27</v>
      </c>
      <c r="O596" s="2">
        <f>(Sales[[#This Row],[Unit_Price]]-Sales[[#This Row],[Discount]]*Sales[[#This Row],[Unit_Price]])</f>
        <v>1649.4349999999999</v>
      </c>
      <c r="P596" t="s">
        <v>17</v>
      </c>
      <c r="Q596" t="s">
        <v>21</v>
      </c>
      <c r="R596" t="s">
        <v>35</v>
      </c>
    </row>
    <row r="597" spans="1:18" x14ac:dyDescent="0.35">
      <c r="A597">
        <v>1036</v>
      </c>
      <c r="B597" s="1">
        <v>45250</v>
      </c>
      <c r="C597" s="1" t="str">
        <f>TEXT(Sales[[#This Row],[Sale_Date]],"YYYY")</f>
        <v>2023</v>
      </c>
      <c r="D597" s="1" t="str">
        <f>TEXT(Sales[[#This Row],[Sale_Date]],"MMMM")</f>
        <v>November</v>
      </c>
      <c r="E597" s="1" t="str">
        <f>TEXT(Sales[[#This Row],[Sale_Date]],"DDDD")</f>
        <v>Monday</v>
      </c>
      <c r="F597" t="s">
        <v>41</v>
      </c>
      <c r="G597" t="s">
        <v>33</v>
      </c>
      <c r="H597" s="2">
        <v>5454.96</v>
      </c>
      <c r="I597">
        <v>32</v>
      </c>
      <c r="J597" t="s">
        <v>28</v>
      </c>
      <c r="K597" s="2">
        <v>700.49</v>
      </c>
      <c r="L597" s="2">
        <v>1126.52</v>
      </c>
      <c r="M597" t="s">
        <v>29</v>
      </c>
      <c r="N597">
        <v>0.28999999999999998</v>
      </c>
      <c r="O597" s="2">
        <f>(Sales[[#This Row],[Unit_Price]]-Sales[[#This Row],[Discount]]*Sales[[#This Row],[Unit_Price]])</f>
        <v>799.82920000000001</v>
      </c>
      <c r="P597" t="s">
        <v>30</v>
      </c>
      <c r="Q597" t="s">
        <v>21</v>
      </c>
      <c r="R597" t="s">
        <v>51</v>
      </c>
    </row>
    <row r="598" spans="1:18" x14ac:dyDescent="0.35">
      <c r="A598">
        <v>1082</v>
      </c>
      <c r="B598" s="1">
        <v>45072</v>
      </c>
      <c r="C598" s="1" t="str">
        <f>TEXT(Sales[[#This Row],[Sale_Date]],"YYYY")</f>
        <v>2023</v>
      </c>
      <c r="D598" s="1" t="str">
        <f>TEXT(Sales[[#This Row],[Sale_Date]],"MMMM")</f>
        <v>May</v>
      </c>
      <c r="E598" s="1" t="str">
        <f>TEXT(Sales[[#This Row],[Sale_Date]],"DDDD")</f>
        <v>Friday</v>
      </c>
      <c r="F598" t="s">
        <v>23</v>
      </c>
      <c r="G598" t="s">
        <v>24</v>
      </c>
      <c r="H598" s="2">
        <v>6994.66</v>
      </c>
      <c r="I598">
        <v>2</v>
      </c>
      <c r="J598" t="s">
        <v>15</v>
      </c>
      <c r="K598" s="2">
        <v>1349.3</v>
      </c>
      <c r="L598" s="2">
        <v>1576.69</v>
      </c>
      <c r="M598" t="s">
        <v>16</v>
      </c>
      <c r="N598">
        <v>0.12</v>
      </c>
      <c r="O598" s="2">
        <f>(Sales[[#This Row],[Unit_Price]]-Sales[[#This Row],[Discount]]*Sales[[#This Row],[Unit_Price]])</f>
        <v>1387.4872</v>
      </c>
      <c r="P598" t="s">
        <v>30</v>
      </c>
      <c r="Q598" t="s">
        <v>18</v>
      </c>
      <c r="R598" t="s">
        <v>27</v>
      </c>
    </row>
    <row r="599" spans="1:18" x14ac:dyDescent="0.35">
      <c r="A599">
        <v>1096</v>
      </c>
      <c r="B599" s="1">
        <v>45219</v>
      </c>
      <c r="C599" s="1" t="str">
        <f>TEXT(Sales[[#This Row],[Sale_Date]],"YYYY")</f>
        <v>2023</v>
      </c>
      <c r="D599" s="1" t="str">
        <f>TEXT(Sales[[#This Row],[Sale_Date]],"MMMM")</f>
        <v>October</v>
      </c>
      <c r="E599" s="1" t="str">
        <f>TEXT(Sales[[#This Row],[Sale_Date]],"DDDD")</f>
        <v>Friday</v>
      </c>
      <c r="F599" t="s">
        <v>23</v>
      </c>
      <c r="G599" t="s">
        <v>24</v>
      </c>
      <c r="H599" s="2">
        <v>7051.25</v>
      </c>
      <c r="I599">
        <v>10</v>
      </c>
      <c r="J599" t="s">
        <v>28</v>
      </c>
      <c r="K599" s="2">
        <v>2927.02</v>
      </c>
      <c r="L599" s="2">
        <v>3387.21</v>
      </c>
      <c r="M599" t="s">
        <v>16</v>
      </c>
      <c r="N599">
        <v>0.12</v>
      </c>
      <c r="O599" s="2">
        <f>(Sales[[#This Row],[Unit_Price]]-Sales[[#This Row],[Discount]]*Sales[[#This Row],[Unit_Price]])</f>
        <v>2980.7447999999999</v>
      </c>
      <c r="P599" t="s">
        <v>17</v>
      </c>
      <c r="Q599" t="s">
        <v>21</v>
      </c>
      <c r="R599" t="s">
        <v>27</v>
      </c>
    </row>
    <row r="600" spans="1:18" x14ac:dyDescent="0.35">
      <c r="A600">
        <v>1024</v>
      </c>
      <c r="B600" s="1">
        <v>45079</v>
      </c>
      <c r="C600" s="1" t="str">
        <f>TEXT(Sales[[#This Row],[Sale_Date]],"YYYY")</f>
        <v>2023</v>
      </c>
      <c r="D600" s="1" t="str">
        <f>TEXT(Sales[[#This Row],[Sale_Date]],"MMMM")</f>
        <v>June</v>
      </c>
      <c r="E600" s="1" t="str">
        <f>TEXT(Sales[[#This Row],[Sale_Date]],"DDDD")</f>
        <v>Friday</v>
      </c>
      <c r="F600" t="s">
        <v>41</v>
      </c>
      <c r="G600" t="s">
        <v>20</v>
      </c>
      <c r="H600" s="2">
        <v>1799.77</v>
      </c>
      <c r="I600">
        <v>2</v>
      </c>
      <c r="J600" t="s">
        <v>15</v>
      </c>
      <c r="K600" s="2">
        <v>3604.93</v>
      </c>
      <c r="L600" s="2">
        <v>3830.71</v>
      </c>
      <c r="M600" t="s">
        <v>16</v>
      </c>
      <c r="N600">
        <v>0.12</v>
      </c>
      <c r="O600" s="2">
        <f>(Sales[[#This Row],[Unit_Price]]-Sales[[#This Row],[Discount]]*Sales[[#This Row],[Unit_Price]])</f>
        <v>3371.0248000000001</v>
      </c>
      <c r="P600" t="s">
        <v>30</v>
      </c>
      <c r="Q600" t="s">
        <v>18</v>
      </c>
      <c r="R600" t="s">
        <v>50</v>
      </c>
    </row>
    <row r="601" spans="1:18" x14ac:dyDescent="0.35">
      <c r="A601">
        <v>1023</v>
      </c>
      <c r="B601" s="1">
        <v>45119</v>
      </c>
      <c r="C601" s="1" t="str">
        <f>TEXT(Sales[[#This Row],[Sale_Date]],"YYYY")</f>
        <v>2023</v>
      </c>
      <c r="D601" s="1" t="str">
        <f>TEXT(Sales[[#This Row],[Sale_Date]],"MMMM")</f>
        <v>July</v>
      </c>
      <c r="E601" s="1" t="str">
        <f>TEXT(Sales[[#This Row],[Sale_Date]],"DDDD")</f>
        <v>Wednesday</v>
      </c>
      <c r="F601" t="s">
        <v>41</v>
      </c>
      <c r="G601" t="s">
        <v>14</v>
      </c>
      <c r="H601" s="2">
        <v>5051.12</v>
      </c>
      <c r="I601">
        <v>2</v>
      </c>
      <c r="J601" t="s">
        <v>25</v>
      </c>
      <c r="K601" s="2">
        <v>665.89</v>
      </c>
      <c r="L601" s="2">
        <v>944.79</v>
      </c>
      <c r="M601" t="s">
        <v>29</v>
      </c>
      <c r="N601">
        <v>0.1</v>
      </c>
      <c r="O601" s="2">
        <f>(Sales[[#This Row],[Unit_Price]]-Sales[[#This Row],[Discount]]*Sales[[#This Row],[Unit_Price]])</f>
        <v>850.31099999999992</v>
      </c>
      <c r="P601" t="s">
        <v>30</v>
      </c>
      <c r="Q601" t="s">
        <v>21</v>
      </c>
      <c r="R601" t="s">
        <v>48</v>
      </c>
    </row>
    <row r="602" spans="1:18" x14ac:dyDescent="0.35">
      <c r="A602">
        <v>1062</v>
      </c>
      <c r="B602" s="1">
        <v>44999</v>
      </c>
      <c r="C602" s="1" t="str">
        <f>TEXT(Sales[[#This Row],[Sale_Date]],"YYYY")</f>
        <v>2023</v>
      </c>
      <c r="D602" s="1" t="str">
        <f>TEXT(Sales[[#This Row],[Sale_Date]],"MMMM")</f>
        <v>March</v>
      </c>
      <c r="E602" s="1" t="str">
        <f>TEXT(Sales[[#This Row],[Sale_Date]],"DDDD")</f>
        <v>Tuesday</v>
      </c>
      <c r="F602" t="s">
        <v>41</v>
      </c>
      <c r="G602" t="s">
        <v>33</v>
      </c>
      <c r="H602" s="2">
        <v>4178.3900000000003</v>
      </c>
      <c r="I602">
        <v>24</v>
      </c>
      <c r="J602" t="s">
        <v>25</v>
      </c>
      <c r="K602" s="2">
        <v>3018.01</v>
      </c>
      <c r="L602" s="2">
        <v>3418.19</v>
      </c>
      <c r="M602" t="s">
        <v>16</v>
      </c>
      <c r="N602">
        <v>0.23</v>
      </c>
      <c r="O602" s="2">
        <f>(Sales[[#This Row],[Unit_Price]]-Sales[[#This Row],[Discount]]*Sales[[#This Row],[Unit_Price]])</f>
        <v>2632.0063</v>
      </c>
      <c r="P602" t="s">
        <v>26</v>
      </c>
      <c r="Q602" t="s">
        <v>21</v>
      </c>
      <c r="R602" t="s">
        <v>51</v>
      </c>
    </row>
    <row r="603" spans="1:18" x14ac:dyDescent="0.35">
      <c r="A603">
        <v>1096</v>
      </c>
      <c r="B603" s="1">
        <v>45231</v>
      </c>
      <c r="C603" s="1" t="str">
        <f>TEXT(Sales[[#This Row],[Sale_Date]],"YYYY")</f>
        <v>2023</v>
      </c>
      <c r="D603" s="1" t="str">
        <f>TEXT(Sales[[#This Row],[Sale_Date]],"MMMM")</f>
        <v>November</v>
      </c>
      <c r="E603" s="1" t="str">
        <f>TEXT(Sales[[#This Row],[Sale_Date]],"DDDD")</f>
        <v>Wednesday</v>
      </c>
      <c r="F603" t="s">
        <v>13</v>
      </c>
      <c r="G603" t="s">
        <v>24</v>
      </c>
      <c r="H603" s="2">
        <v>8718.2199999999993</v>
      </c>
      <c r="I603">
        <v>17</v>
      </c>
      <c r="J603" t="s">
        <v>25</v>
      </c>
      <c r="K603" s="2">
        <v>2774.24</v>
      </c>
      <c r="L603" s="2">
        <v>3069.9399999999901</v>
      </c>
      <c r="M603" t="s">
        <v>16</v>
      </c>
      <c r="N603">
        <v>0.23</v>
      </c>
      <c r="O603" s="2">
        <f>(Sales[[#This Row],[Unit_Price]]-Sales[[#This Row],[Discount]]*Sales[[#This Row],[Unit_Price]])</f>
        <v>2363.8537999999926</v>
      </c>
      <c r="P603" t="s">
        <v>26</v>
      </c>
      <c r="Q603" t="s">
        <v>21</v>
      </c>
      <c r="R603" t="s">
        <v>31</v>
      </c>
    </row>
    <row r="604" spans="1:18" x14ac:dyDescent="0.35">
      <c r="A604">
        <v>1037</v>
      </c>
      <c r="B604" s="1">
        <v>45270</v>
      </c>
      <c r="C604" s="1" t="str">
        <f>TEXT(Sales[[#This Row],[Sale_Date]],"YYYY")</f>
        <v>2023</v>
      </c>
      <c r="D604" s="1" t="str">
        <f>TEXT(Sales[[#This Row],[Sale_Date]],"MMMM")</f>
        <v>December</v>
      </c>
      <c r="E604" s="1" t="str">
        <f>TEXT(Sales[[#This Row],[Sale_Date]],"DDDD")</f>
        <v>Sunday</v>
      </c>
      <c r="F604" t="s">
        <v>13</v>
      </c>
      <c r="G604" t="s">
        <v>14</v>
      </c>
      <c r="H604" s="2">
        <v>6351.05</v>
      </c>
      <c r="I604">
        <v>32</v>
      </c>
      <c r="J604" t="s">
        <v>34</v>
      </c>
      <c r="K604" s="2">
        <v>2594.08</v>
      </c>
      <c r="L604" s="2">
        <v>3074.59</v>
      </c>
      <c r="M604" t="s">
        <v>29</v>
      </c>
      <c r="N604">
        <v>0.14000000000000001</v>
      </c>
      <c r="O604" s="2">
        <f>(Sales[[#This Row],[Unit_Price]]-Sales[[#This Row],[Discount]]*Sales[[#This Row],[Unit_Price]])</f>
        <v>2644.1473999999998</v>
      </c>
      <c r="P604" t="s">
        <v>17</v>
      </c>
      <c r="Q604" t="s">
        <v>21</v>
      </c>
      <c r="R604" t="s">
        <v>19</v>
      </c>
    </row>
    <row r="605" spans="1:18" x14ac:dyDescent="0.35">
      <c r="A605">
        <v>1012</v>
      </c>
      <c r="B605" s="1">
        <v>45066</v>
      </c>
      <c r="C605" s="1" t="str">
        <f>TEXT(Sales[[#This Row],[Sale_Date]],"YYYY")</f>
        <v>2023</v>
      </c>
      <c r="D605" s="1" t="str">
        <f>TEXT(Sales[[#This Row],[Sale_Date]],"MMMM")</f>
        <v>May</v>
      </c>
      <c r="E605" s="1" t="str">
        <f>TEXT(Sales[[#This Row],[Sale_Date]],"DDDD")</f>
        <v>Saturday</v>
      </c>
      <c r="F605" t="s">
        <v>13</v>
      </c>
      <c r="G605" t="s">
        <v>14</v>
      </c>
      <c r="H605" s="2">
        <v>5371.79</v>
      </c>
      <c r="I605">
        <v>16</v>
      </c>
      <c r="J605" t="s">
        <v>25</v>
      </c>
      <c r="K605" s="2">
        <v>3466.11</v>
      </c>
      <c r="L605" s="2">
        <v>3799.67</v>
      </c>
      <c r="M605" t="s">
        <v>16</v>
      </c>
      <c r="N605">
        <v>0.01</v>
      </c>
      <c r="O605" s="2">
        <f>(Sales[[#This Row],[Unit_Price]]-Sales[[#This Row],[Discount]]*Sales[[#This Row],[Unit_Price]])</f>
        <v>3761.6732999999999</v>
      </c>
      <c r="P605" t="s">
        <v>17</v>
      </c>
      <c r="Q605" t="s">
        <v>21</v>
      </c>
      <c r="R605" t="s">
        <v>19</v>
      </c>
    </row>
    <row r="606" spans="1:18" x14ac:dyDescent="0.35">
      <c r="A606">
        <v>1055</v>
      </c>
      <c r="B606" s="1">
        <v>45113</v>
      </c>
      <c r="C606" s="1" t="str">
        <f>TEXT(Sales[[#This Row],[Sale_Date]],"YYYY")</f>
        <v>2023</v>
      </c>
      <c r="D606" s="1" t="str">
        <f>TEXT(Sales[[#This Row],[Sale_Date]],"MMMM")</f>
        <v>July</v>
      </c>
      <c r="E606" s="1" t="str">
        <f>TEXT(Sales[[#This Row],[Sale_Date]],"DDDD")</f>
        <v>Thursday</v>
      </c>
      <c r="F606" t="s">
        <v>37</v>
      </c>
      <c r="G606" t="s">
        <v>24</v>
      </c>
      <c r="H606" s="2">
        <v>1242.4100000000001</v>
      </c>
      <c r="I606">
        <v>16</v>
      </c>
      <c r="J606" t="s">
        <v>28</v>
      </c>
      <c r="K606" s="2">
        <v>4195.38</v>
      </c>
      <c r="L606" s="2">
        <v>4461.51</v>
      </c>
      <c r="M606" t="s">
        <v>16</v>
      </c>
      <c r="N606">
        <v>0.09</v>
      </c>
      <c r="O606" s="2">
        <f>(Sales[[#This Row],[Unit_Price]]-Sales[[#This Row],[Discount]]*Sales[[#This Row],[Unit_Price]])</f>
        <v>4059.9741000000004</v>
      </c>
      <c r="P606" t="s">
        <v>26</v>
      </c>
      <c r="Q606" t="s">
        <v>18</v>
      </c>
      <c r="R606" t="s">
        <v>38</v>
      </c>
    </row>
    <row r="607" spans="1:18" x14ac:dyDescent="0.35">
      <c r="A607">
        <v>1013</v>
      </c>
      <c r="B607" s="1">
        <v>45219</v>
      </c>
      <c r="C607" s="1" t="str">
        <f>TEXT(Sales[[#This Row],[Sale_Date]],"YYYY")</f>
        <v>2023</v>
      </c>
      <c r="D607" s="1" t="str">
        <f>TEXT(Sales[[#This Row],[Sale_Date]],"MMMM")</f>
        <v>October</v>
      </c>
      <c r="E607" s="1" t="str">
        <f>TEXT(Sales[[#This Row],[Sale_Date]],"DDDD")</f>
        <v>Friday</v>
      </c>
      <c r="F607" t="s">
        <v>23</v>
      </c>
      <c r="G607" t="s">
        <v>33</v>
      </c>
      <c r="H607" s="2">
        <v>6095.82</v>
      </c>
      <c r="I607">
        <v>46</v>
      </c>
      <c r="J607" t="s">
        <v>34</v>
      </c>
      <c r="K607" s="2">
        <v>1648.8</v>
      </c>
      <c r="L607" s="2">
        <v>1670.36</v>
      </c>
      <c r="M607" t="s">
        <v>16</v>
      </c>
      <c r="N607">
        <v>0.09</v>
      </c>
      <c r="O607" s="2">
        <f>(Sales[[#This Row],[Unit_Price]]-Sales[[#This Row],[Discount]]*Sales[[#This Row],[Unit_Price]])</f>
        <v>1520.0275999999999</v>
      </c>
      <c r="P607" t="s">
        <v>30</v>
      </c>
      <c r="Q607" t="s">
        <v>21</v>
      </c>
      <c r="R607" t="s">
        <v>49</v>
      </c>
    </row>
    <row r="608" spans="1:18" x14ac:dyDescent="0.35">
      <c r="A608">
        <v>1023</v>
      </c>
      <c r="B608" s="1">
        <v>44987</v>
      </c>
      <c r="C608" s="1" t="str">
        <f>TEXT(Sales[[#This Row],[Sale_Date]],"YYYY")</f>
        <v>2023</v>
      </c>
      <c r="D608" s="1" t="str">
        <f>TEXT(Sales[[#This Row],[Sale_Date]],"MMMM")</f>
        <v>March</v>
      </c>
      <c r="E608" s="1" t="str">
        <f>TEXT(Sales[[#This Row],[Sale_Date]],"DDDD")</f>
        <v>Thursday</v>
      </c>
      <c r="F608" t="s">
        <v>23</v>
      </c>
      <c r="G608" t="s">
        <v>20</v>
      </c>
      <c r="H608" s="2">
        <v>1260.32</v>
      </c>
      <c r="I608">
        <v>39</v>
      </c>
      <c r="J608" t="s">
        <v>25</v>
      </c>
      <c r="K608" s="2">
        <v>4450.6099999999997</v>
      </c>
      <c r="L608" s="2">
        <v>4663.3399999999901</v>
      </c>
      <c r="M608" t="s">
        <v>29</v>
      </c>
      <c r="N608">
        <v>0.24</v>
      </c>
      <c r="O608" s="2">
        <f>(Sales[[#This Row],[Unit_Price]]-Sales[[#This Row],[Discount]]*Sales[[#This Row],[Unit_Price]])</f>
        <v>3544.1383999999925</v>
      </c>
      <c r="P608" t="s">
        <v>17</v>
      </c>
      <c r="Q608" t="s">
        <v>21</v>
      </c>
      <c r="R608" t="s">
        <v>46</v>
      </c>
    </row>
    <row r="609" spans="1:18" x14ac:dyDescent="0.35">
      <c r="A609">
        <v>1089</v>
      </c>
      <c r="B609" s="1">
        <v>45124</v>
      </c>
      <c r="C609" s="1" t="str">
        <f>TEXT(Sales[[#This Row],[Sale_Date]],"YYYY")</f>
        <v>2023</v>
      </c>
      <c r="D609" s="1" t="str">
        <f>TEXT(Sales[[#This Row],[Sale_Date]],"MMMM")</f>
        <v>July</v>
      </c>
      <c r="E609" s="1" t="str">
        <f>TEXT(Sales[[#This Row],[Sale_Date]],"DDDD")</f>
        <v>Monday</v>
      </c>
      <c r="F609" t="s">
        <v>32</v>
      </c>
      <c r="G609" t="s">
        <v>14</v>
      </c>
      <c r="H609" s="2">
        <v>3438.35</v>
      </c>
      <c r="I609">
        <v>31</v>
      </c>
      <c r="J609" t="s">
        <v>28</v>
      </c>
      <c r="K609" s="2">
        <v>845.14</v>
      </c>
      <c r="L609" s="2">
        <v>1001.77</v>
      </c>
      <c r="M609" t="s">
        <v>29</v>
      </c>
      <c r="N609">
        <v>0.03</v>
      </c>
      <c r="O609" s="2">
        <f>(Sales[[#This Row],[Unit_Price]]-Sales[[#This Row],[Discount]]*Sales[[#This Row],[Unit_Price]])</f>
        <v>971.71690000000001</v>
      </c>
      <c r="P609" t="s">
        <v>17</v>
      </c>
      <c r="Q609" t="s">
        <v>18</v>
      </c>
      <c r="R609" t="s">
        <v>52</v>
      </c>
    </row>
    <row r="610" spans="1:18" x14ac:dyDescent="0.35">
      <c r="A610">
        <v>1099</v>
      </c>
      <c r="B610" s="1">
        <v>45221</v>
      </c>
      <c r="C610" s="1" t="str">
        <f>TEXT(Sales[[#This Row],[Sale_Date]],"YYYY")</f>
        <v>2023</v>
      </c>
      <c r="D610" s="1" t="str">
        <f>TEXT(Sales[[#This Row],[Sale_Date]],"MMMM")</f>
        <v>October</v>
      </c>
      <c r="E610" s="1" t="str">
        <f>TEXT(Sales[[#This Row],[Sale_Date]],"DDDD")</f>
        <v>Sunday</v>
      </c>
      <c r="F610" t="s">
        <v>13</v>
      </c>
      <c r="G610" t="s">
        <v>20</v>
      </c>
      <c r="H610" s="2">
        <v>1514.14</v>
      </c>
      <c r="I610">
        <v>43</v>
      </c>
      <c r="J610" t="s">
        <v>28</v>
      </c>
      <c r="K610" s="2">
        <v>906.47</v>
      </c>
      <c r="L610" s="2">
        <v>1283.04</v>
      </c>
      <c r="M610" t="s">
        <v>29</v>
      </c>
      <c r="N610">
        <v>0.24</v>
      </c>
      <c r="O610" s="2">
        <f>(Sales[[#This Row],[Unit_Price]]-Sales[[#This Row],[Discount]]*Sales[[#This Row],[Unit_Price]])</f>
        <v>975.11040000000003</v>
      </c>
      <c r="P610" t="s">
        <v>17</v>
      </c>
      <c r="Q610" t="s">
        <v>18</v>
      </c>
      <c r="R610" t="s">
        <v>22</v>
      </c>
    </row>
    <row r="611" spans="1:18" x14ac:dyDescent="0.35">
      <c r="A611">
        <v>1030</v>
      </c>
      <c r="B611" s="1">
        <v>45245</v>
      </c>
      <c r="C611" s="1" t="str">
        <f>TEXT(Sales[[#This Row],[Sale_Date]],"YYYY")</f>
        <v>2023</v>
      </c>
      <c r="D611" s="1" t="str">
        <f>TEXT(Sales[[#This Row],[Sale_Date]],"MMMM")</f>
        <v>November</v>
      </c>
      <c r="E611" s="1" t="str">
        <f>TEXT(Sales[[#This Row],[Sale_Date]],"DDDD")</f>
        <v>Wednesday</v>
      </c>
      <c r="F611" t="s">
        <v>37</v>
      </c>
      <c r="G611" t="s">
        <v>33</v>
      </c>
      <c r="H611" s="2">
        <v>6951.53</v>
      </c>
      <c r="I611">
        <v>24</v>
      </c>
      <c r="J611" t="s">
        <v>28</v>
      </c>
      <c r="K611" s="2">
        <v>1370.52</v>
      </c>
      <c r="L611" s="2">
        <v>1482.58</v>
      </c>
      <c r="M611" t="s">
        <v>16</v>
      </c>
      <c r="N611">
        <v>0.2</v>
      </c>
      <c r="O611" s="2">
        <f>(Sales[[#This Row],[Unit_Price]]-Sales[[#This Row],[Discount]]*Sales[[#This Row],[Unit_Price]])</f>
        <v>1186.0639999999999</v>
      </c>
      <c r="P611" t="s">
        <v>30</v>
      </c>
      <c r="Q611" t="s">
        <v>21</v>
      </c>
      <c r="R611" t="s">
        <v>47</v>
      </c>
    </row>
    <row r="612" spans="1:18" x14ac:dyDescent="0.35">
      <c r="A612">
        <v>1017</v>
      </c>
      <c r="B612" s="1">
        <v>45228</v>
      </c>
      <c r="C612" s="1" t="str">
        <f>TEXT(Sales[[#This Row],[Sale_Date]],"YYYY")</f>
        <v>2023</v>
      </c>
      <c r="D612" s="1" t="str">
        <f>TEXT(Sales[[#This Row],[Sale_Date]],"MMMM")</f>
        <v>October</v>
      </c>
      <c r="E612" s="1" t="str">
        <f>TEXT(Sales[[#This Row],[Sale_Date]],"DDDD")</f>
        <v>Sunday</v>
      </c>
      <c r="F612" t="s">
        <v>37</v>
      </c>
      <c r="G612" t="s">
        <v>33</v>
      </c>
      <c r="H612" s="2">
        <v>2141.9</v>
      </c>
      <c r="I612">
        <v>1</v>
      </c>
      <c r="J612" t="s">
        <v>15</v>
      </c>
      <c r="K612" s="2">
        <v>641.67999999999995</v>
      </c>
      <c r="L612" s="2">
        <v>752.24</v>
      </c>
      <c r="M612" t="s">
        <v>29</v>
      </c>
      <c r="N612">
        <v>0.22</v>
      </c>
      <c r="O612" s="2">
        <f>(Sales[[#This Row],[Unit_Price]]-Sales[[#This Row],[Discount]]*Sales[[#This Row],[Unit_Price]])</f>
        <v>586.74720000000002</v>
      </c>
      <c r="P612" t="s">
        <v>26</v>
      </c>
      <c r="Q612" t="s">
        <v>18</v>
      </c>
      <c r="R612" t="s">
        <v>47</v>
      </c>
    </row>
    <row r="613" spans="1:18" x14ac:dyDescent="0.35">
      <c r="A613">
        <v>1062</v>
      </c>
      <c r="B613" s="1">
        <v>45270</v>
      </c>
      <c r="C613" s="1" t="str">
        <f>TEXT(Sales[[#This Row],[Sale_Date]],"YYYY")</f>
        <v>2023</v>
      </c>
      <c r="D613" s="1" t="str">
        <f>TEXT(Sales[[#This Row],[Sale_Date]],"MMMM")</f>
        <v>December</v>
      </c>
      <c r="E613" s="1" t="str">
        <f>TEXT(Sales[[#This Row],[Sale_Date]],"DDDD")</f>
        <v>Sunday</v>
      </c>
      <c r="F613" t="s">
        <v>23</v>
      </c>
      <c r="G613" t="s">
        <v>20</v>
      </c>
      <c r="H613" s="2">
        <v>3979.41</v>
      </c>
      <c r="I613">
        <v>11</v>
      </c>
      <c r="J613" t="s">
        <v>34</v>
      </c>
      <c r="K613" s="2">
        <v>1190.08</v>
      </c>
      <c r="L613" s="2">
        <v>1292.9399999999901</v>
      </c>
      <c r="M613" t="s">
        <v>16</v>
      </c>
      <c r="N613">
        <v>0.13</v>
      </c>
      <c r="O613" s="2">
        <f>(Sales[[#This Row],[Unit_Price]]-Sales[[#This Row],[Discount]]*Sales[[#This Row],[Unit_Price]])</f>
        <v>1124.8577999999914</v>
      </c>
      <c r="P613" t="s">
        <v>17</v>
      </c>
      <c r="Q613" t="s">
        <v>21</v>
      </c>
      <c r="R613" t="s">
        <v>46</v>
      </c>
    </row>
    <row r="614" spans="1:18" x14ac:dyDescent="0.35">
      <c r="A614">
        <v>1084</v>
      </c>
      <c r="B614" s="1">
        <v>44937</v>
      </c>
      <c r="C614" s="1" t="str">
        <f>TEXT(Sales[[#This Row],[Sale_Date]],"YYYY")</f>
        <v>2023</v>
      </c>
      <c r="D614" s="1" t="str">
        <f>TEXT(Sales[[#This Row],[Sale_Date]],"MMMM")</f>
        <v>January</v>
      </c>
      <c r="E614" s="1" t="str">
        <f>TEXT(Sales[[#This Row],[Sale_Date]],"DDDD")</f>
        <v>Wednesday</v>
      </c>
      <c r="F614" t="s">
        <v>13</v>
      </c>
      <c r="G614" t="s">
        <v>33</v>
      </c>
      <c r="H614" s="2">
        <v>8967.18</v>
      </c>
      <c r="I614">
        <v>21</v>
      </c>
      <c r="J614" t="s">
        <v>28</v>
      </c>
      <c r="K614" s="2">
        <v>576.74</v>
      </c>
      <c r="L614" s="2">
        <v>648.29</v>
      </c>
      <c r="M614" t="s">
        <v>16</v>
      </c>
      <c r="N614">
        <v>0.2</v>
      </c>
      <c r="O614" s="2">
        <f>(Sales[[#This Row],[Unit_Price]]-Sales[[#This Row],[Discount]]*Sales[[#This Row],[Unit_Price]])</f>
        <v>518.63199999999995</v>
      </c>
      <c r="P614" t="s">
        <v>26</v>
      </c>
      <c r="Q614" t="s">
        <v>18</v>
      </c>
      <c r="R614" t="s">
        <v>45</v>
      </c>
    </row>
    <row r="615" spans="1:18" x14ac:dyDescent="0.35">
      <c r="A615">
        <v>1089</v>
      </c>
      <c r="B615" s="1">
        <v>44988</v>
      </c>
      <c r="C615" s="1" t="str">
        <f>TEXT(Sales[[#This Row],[Sale_Date]],"YYYY")</f>
        <v>2023</v>
      </c>
      <c r="D615" s="1" t="str">
        <f>TEXT(Sales[[#This Row],[Sale_Date]],"MMMM")</f>
        <v>March</v>
      </c>
      <c r="E615" s="1" t="str">
        <f>TEXT(Sales[[#This Row],[Sale_Date]],"DDDD")</f>
        <v>Friday</v>
      </c>
      <c r="F615" t="s">
        <v>32</v>
      </c>
      <c r="G615" t="s">
        <v>14</v>
      </c>
      <c r="H615" s="2">
        <v>2122.73</v>
      </c>
      <c r="I615">
        <v>4</v>
      </c>
      <c r="J615" t="s">
        <v>15</v>
      </c>
      <c r="K615" s="2">
        <v>4117.67</v>
      </c>
      <c r="L615" s="2">
        <v>4280.0600000000004</v>
      </c>
      <c r="M615" t="s">
        <v>16</v>
      </c>
      <c r="N615">
        <v>0.18</v>
      </c>
      <c r="O615" s="2">
        <f>(Sales[[#This Row],[Unit_Price]]-Sales[[#This Row],[Discount]]*Sales[[#This Row],[Unit_Price]])</f>
        <v>3509.6492000000003</v>
      </c>
      <c r="P615" t="s">
        <v>26</v>
      </c>
      <c r="Q615" t="s">
        <v>18</v>
      </c>
      <c r="R615" t="s">
        <v>52</v>
      </c>
    </row>
    <row r="616" spans="1:18" x14ac:dyDescent="0.35">
      <c r="A616">
        <v>1086</v>
      </c>
      <c r="B616" s="1">
        <v>45259</v>
      </c>
      <c r="C616" s="1" t="str">
        <f>TEXT(Sales[[#This Row],[Sale_Date]],"YYYY")</f>
        <v>2023</v>
      </c>
      <c r="D616" s="1" t="str">
        <f>TEXT(Sales[[#This Row],[Sale_Date]],"MMMM")</f>
        <v>November</v>
      </c>
      <c r="E616" s="1" t="str">
        <f>TEXT(Sales[[#This Row],[Sale_Date]],"DDDD")</f>
        <v>Wednesday</v>
      </c>
      <c r="F616" t="s">
        <v>13</v>
      </c>
      <c r="G616" t="s">
        <v>20</v>
      </c>
      <c r="H616" s="2">
        <v>5127.2700000000004</v>
      </c>
      <c r="I616">
        <v>7</v>
      </c>
      <c r="J616" t="s">
        <v>25</v>
      </c>
      <c r="K616" s="2">
        <v>737.9</v>
      </c>
      <c r="L616" s="2">
        <v>1182</v>
      </c>
      <c r="M616" t="s">
        <v>29</v>
      </c>
      <c r="N616">
        <v>0.23</v>
      </c>
      <c r="O616" s="2">
        <f>(Sales[[#This Row],[Unit_Price]]-Sales[[#This Row],[Discount]]*Sales[[#This Row],[Unit_Price]])</f>
        <v>910.14</v>
      </c>
      <c r="P616" t="s">
        <v>30</v>
      </c>
      <c r="Q616" t="s">
        <v>21</v>
      </c>
      <c r="R616" t="s">
        <v>22</v>
      </c>
    </row>
    <row r="617" spans="1:18" x14ac:dyDescent="0.35">
      <c r="A617">
        <v>1013</v>
      </c>
      <c r="B617" s="1">
        <v>45152</v>
      </c>
      <c r="C617" s="1" t="str">
        <f>TEXT(Sales[[#This Row],[Sale_Date]],"YYYY")</f>
        <v>2023</v>
      </c>
      <c r="D617" s="1" t="str">
        <f>TEXT(Sales[[#This Row],[Sale_Date]],"MMMM")</f>
        <v>August</v>
      </c>
      <c r="E617" s="1" t="str">
        <f>TEXT(Sales[[#This Row],[Sale_Date]],"DDDD")</f>
        <v>Monday</v>
      </c>
      <c r="F617" t="s">
        <v>41</v>
      </c>
      <c r="G617" t="s">
        <v>33</v>
      </c>
      <c r="H617" s="2">
        <v>4250.79</v>
      </c>
      <c r="I617">
        <v>26</v>
      </c>
      <c r="J617" t="s">
        <v>28</v>
      </c>
      <c r="K617" s="2">
        <v>3749.12</v>
      </c>
      <c r="L617" s="2">
        <v>4138.83</v>
      </c>
      <c r="M617" t="s">
        <v>29</v>
      </c>
      <c r="N617">
        <v>0.13</v>
      </c>
      <c r="O617" s="2">
        <f>(Sales[[#This Row],[Unit_Price]]-Sales[[#This Row],[Discount]]*Sales[[#This Row],[Unit_Price]])</f>
        <v>3600.7820999999999</v>
      </c>
      <c r="P617" t="s">
        <v>30</v>
      </c>
      <c r="Q617" t="s">
        <v>18</v>
      </c>
      <c r="R617" t="s">
        <v>51</v>
      </c>
    </row>
    <row r="618" spans="1:18" x14ac:dyDescent="0.35">
      <c r="A618">
        <v>1059</v>
      </c>
      <c r="B618" s="1">
        <v>45079</v>
      </c>
      <c r="C618" s="1" t="str">
        <f>TEXT(Sales[[#This Row],[Sale_Date]],"YYYY")</f>
        <v>2023</v>
      </c>
      <c r="D618" s="1" t="str">
        <f>TEXT(Sales[[#This Row],[Sale_Date]],"MMMM")</f>
        <v>June</v>
      </c>
      <c r="E618" s="1" t="str">
        <f>TEXT(Sales[[#This Row],[Sale_Date]],"DDDD")</f>
        <v>Friday</v>
      </c>
      <c r="F618" t="s">
        <v>13</v>
      </c>
      <c r="G618" t="s">
        <v>20</v>
      </c>
      <c r="H618" s="2">
        <v>279.43</v>
      </c>
      <c r="I618">
        <v>47</v>
      </c>
      <c r="J618" t="s">
        <v>15</v>
      </c>
      <c r="K618" s="2">
        <v>287.17</v>
      </c>
      <c r="L618" s="2">
        <v>657.44</v>
      </c>
      <c r="M618" t="s">
        <v>16</v>
      </c>
      <c r="N618">
        <v>0.14000000000000001</v>
      </c>
      <c r="O618" s="2">
        <f>(Sales[[#This Row],[Unit_Price]]-Sales[[#This Row],[Discount]]*Sales[[#This Row],[Unit_Price]])</f>
        <v>565.39840000000004</v>
      </c>
      <c r="P618" t="s">
        <v>30</v>
      </c>
      <c r="Q618" t="s">
        <v>21</v>
      </c>
      <c r="R618" t="s">
        <v>22</v>
      </c>
    </row>
    <row r="619" spans="1:18" x14ac:dyDescent="0.35">
      <c r="A619">
        <v>1019</v>
      </c>
      <c r="B619" s="1">
        <v>45125</v>
      </c>
      <c r="C619" s="1" t="str">
        <f>TEXT(Sales[[#This Row],[Sale_Date]],"YYYY")</f>
        <v>2023</v>
      </c>
      <c r="D619" s="1" t="str">
        <f>TEXT(Sales[[#This Row],[Sale_Date]],"MMMM")</f>
        <v>July</v>
      </c>
      <c r="E619" s="1" t="str">
        <f>TEXT(Sales[[#This Row],[Sale_Date]],"DDDD")</f>
        <v>Tuesday</v>
      </c>
      <c r="F619" t="s">
        <v>41</v>
      </c>
      <c r="G619" t="s">
        <v>14</v>
      </c>
      <c r="H619" s="2">
        <v>7948.31</v>
      </c>
      <c r="I619">
        <v>12</v>
      </c>
      <c r="J619" t="s">
        <v>28</v>
      </c>
      <c r="K619" s="2">
        <v>4745.18</v>
      </c>
      <c r="L619" s="2">
        <v>5145.88</v>
      </c>
      <c r="M619" t="s">
        <v>16</v>
      </c>
      <c r="N619">
        <v>0.19</v>
      </c>
      <c r="O619" s="2">
        <f>(Sales[[#This Row],[Unit_Price]]-Sales[[#This Row],[Discount]]*Sales[[#This Row],[Unit_Price]])</f>
        <v>4168.1628000000001</v>
      </c>
      <c r="P619" t="s">
        <v>30</v>
      </c>
      <c r="Q619" t="s">
        <v>18</v>
      </c>
      <c r="R619" t="s">
        <v>48</v>
      </c>
    </row>
    <row r="620" spans="1:18" x14ac:dyDescent="0.35">
      <c r="A620">
        <v>1049</v>
      </c>
      <c r="B620" s="1">
        <v>44978</v>
      </c>
      <c r="C620" s="1" t="str">
        <f>TEXT(Sales[[#This Row],[Sale_Date]],"YYYY")</f>
        <v>2023</v>
      </c>
      <c r="D620" s="1" t="str">
        <f>TEXT(Sales[[#This Row],[Sale_Date]],"MMMM")</f>
        <v>February</v>
      </c>
      <c r="E620" s="1" t="str">
        <f>TEXT(Sales[[#This Row],[Sale_Date]],"DDDD")</f>
        <v>Tuesday</v>
      </c>
      <c r="F620" t="s">
        <v>41</v>
      </c>
      <c r="G620" t="s">
        <v>33</v>
      </c>
      <c r="H620" s="2">
        <v>783.55</v>
      </c>
      <c r="I620">
        <v>31</v>
      </c>
      <c r="J620" t="s">
        <v>34</v>
      </c>
      <c r="K620" s="2">
        <v>3570.24</v>
      </c>
      <c r="L620" s="2">
        <v>3712.25</v>
      </c>
      <c r="M620" t="s">
        <v>29</v>
      </c>
      <c r="N620">
        <v>0.03</v>
      </c>
      <c r="O620" s="2">
        <f>(Sales[[#This Row],[Unit_Price]]-Sales[[#This Row],[Discount]]*Sales[[#This Row],[Unit_Price]])</f>
        <v>3600.8825000000002</v>
      </c>
      <c r="P620" t="s">
        <v>30</v>
      </c>
      <c r="Q620" t="s">
        <v>18</v>
      </c>
      <c r="R620" t="s">
        <v>51</v>
      </c>
    </row>
    <row r="621" spans="1:18" x14ac:dyDescent="0.35">
      <c r="A621">
        <v>1100</v>
      </c>
      <c r="B621" s="1">
        <v>45186</v>
      </c>
      <c r="C621" s="1" t="str">
        <f>TEXT(Sales[[#This Row],[Sale_Date]],"YYYY")</f>
        <v>2023</v>
      </c>
      <c r="D621" s="1" t="str">
        <f>TEXT(Sales[[#This Row],[Sale_Date]],"MMMM")</f>
        <v>September</v>
      </c>
      <c r="E621" s="1" t="str">
        <f>TEXT(Sales[[#This Row],[Sale_Date]],"DDDD")</f>
        <v>Sunday</v>
      </c>
      <c r="F621" t="s">
        <v>32</v>
      </c>
      <c r="G621" t="s">
        <v>14</v>
      </c>
      <c r="H621" s="2">
        <v>4795.12</v>
      </c>
      <c r="I621">
        <v>17</v>
      </c>
      <c r="J621" t="s">
        <v>34</v>
      </c>
      <c r="K621" s="2">
        <v>83.64</v>
      </c>
      <c r="L621" s="2">
        <v>528.49</v>
      </c>
      <c r="M621" t="s">
        <v>29</v>
      </c>
      <c r="N621">
        <v>0.13</v>
      </c>
      <c r="O621" s="2">
        <f>(Sales[[#This Row],[Unit_Price]]-Sales[[#This Row],[Discount]]*Sales[[#This Row],[Unit_Price]])</f>
        <v>459.78629999999998</v>
      </c>
      <c r="P621" t="s">
        <v>30</v>
      </c>
      <c r="Q621" t="s">
        <v>18</v>
      </c>
      <c r="R621" t="s">
        <v>52</v>
      </c>
    </row>
    <row r="622" spans="1:18" x14ac:dyDescent="0.35">
      <c r="A622">
        <v>1012</v>
      </c>
      <c r="B622" s="1">
        <v>44985</v>
      </c>
      <c r="C622" s="1" t="str">
        <f>TEXT(Sales[[#This Row],[Sale_Date]],"YYYY")</f>
        <v>2023</v>
      </c>
      <c r="D622" s="1" t="str">
        <f>TEXT(Sales[[#This Row],[Sale_Date]],"MMMM")</f>
        <v>February</v>
      </c>
      <c r="E622" s="1" t="str">
        <f>TEXT(Sales[[#This Row],[Sale_Date]],"DDDD")</f>
        <v>Tuesday</v>
      </c>
      <c r="F622" t="s">
        <v>23</v>
      </c>
      <c r="G622" t="s">
        <v>33</v>
      </c>
      <c r="H622" s="2">
        <v>5650.72</v>
      </c>
      <c r="I622">
        <v>33</v>
      </c>
      <c r="J622" t="s">
        <v>25</v>
      </c>
      <c r="K622" s="2">
        <v>3831.09</v>
      </c>
      <c r="L622" s="2">
        <v>3908.37</v>
      </c>
      <c r="M622" t="s">
        <v>29</v>
      </c>
      <c r="N622">
        <v>0.28999999999999998</v>
      </c>
      <c r="O622" s="2">
        <f>(Sales[[#This Row],[Unit_Price]]-Sales[[#This Row],[Discount]]*Sales[[#This Row],[Unit_Price]])</f>
        <v>2774.9427000000001</v>
      </c>
      <c r="P622" t="s">
        <v>17</v>
      </c>
      <c r="Q622" t="s">
        <v>21</v>
      </c>
      <c r="R622" t="s">
        <v>49</v>
      </c>
    </row>
    <row r="623" spans="1:18" x14ac:dyDescent="0.35">
      <c r="A623">
        <v>1061</v>
      </c>
      <c r="B623" s="1">
        <v>44998</v>
      </c>
      <c r="C623" s="1" t="str">
        <f>TEXT(Sales[[#This Row],[Sale_Date]],"YYYY")</f>
        <v>2023</v>
      </c>
      <c r="D623" s="1" t="str">
        <f>TEXT(Sales[[#This Row],[Sale_Date]],"MMMM")</f>
        <v>March</v>
      </c>
      <c r="E623" s="1" t="str">
        <f>TEXT(Sales[[#This Row],[Sale_Date]],"DDDD")</f>
        <v>Monday</v>
      </c>
      <c r="F623" t="s">
        <v>13</v>
      </c>
      <c r="G623" t="s">
        <v>24</v>
      </c>
      <c r="H623" s="2">
        <v>6321.42</v>
      </c>
      <c r="I623">
        <v>11</v>
      </c>
      <c r="J623" t="s">
        <v>28</v>
      </c>
      <c r="K623" s="2">
        <v>2594.71</v>
      </c>
      <c r="L623" s="2">
        <v>2769.52</v>
      </c>
      <c r="M623" t="s">
        <v>16</v>
      </c>
      <c r="N623">
        <v>0.01</v>
      </c>
      <c r="O623" s="2">
        <f>(Sales[[#This Row],[Unit_Price]]-Sales[[#This Row],[Discount]]*Sales[[#This Row],[Unit_Price]])</f>
        <v>2741.8247999999999</v>
      </c>
      <c r="P623" t="s">
        <v>26</v>
      </c>
      <c r="Q623" t="s">
        <v>21</v>
      </c>
      <c r="R623" t="s">
        <v>31</v>
      </c>
    </row>
    <row r="624" spans="1:18" x14ac:dyDescent="0.35">
      <c r="A624">
        <v>1019</v>
      </c>
      <c r="B624" s="1">
        <v>45074</v>
      </c>
      <c r="C624" s="1" t="str">
        <f>TEXT(Sales[[#This Row],[Sale_Date]],"YYYY")</f>
        <v>2023</v>
      </c>
      <c r="D624" s="1" t="str">
        <f>TEXT(Sales[[#This Row],[Sale_Date]],"MMMM")</f>
        <v>May</v>
      </c>
      <c r="E624" s="1" t="str">
        <f>TEXT(Sales[[#This Row],[Sale_Date]],"DDDD")</f>
        <v>Sunday</v>
      </c>
      <c r="F624" t="s">
        <v>41</v>
      </c>
      <c r="G624" t="s">
        <v>33</v>
      </c>
      <c r="H624" s="2">
        <v>6917.45</v>
      </c>
      <c r="I624">
        <v>28</v>
      </c>
      <c r="J624" t="s">
        <v>15</v>
      </c>
      <c r="K624" s="2">
        <v>3907.86</v>
      </c>
      <c r="L624" s="2">
        <v>4205.37</v>
      </c>
      <c r="M624" t="s">
        <v>29</v>
      </c>
      <c r="N624">
        <v>0.09</v>
      </c>
      <c r="O624" s="2">
        <f>(Sales[[#This Row],[Unit_Price]]-Sales[[#This Row],[Discount]]*Sales[[#This Row],[Unit_Price]])</f>
        <v>3826.8867</v>
      </c>
      <c r="P624" t="s">
        <v>30</v>
      </c>
      <c r="Q624" t="s">
        <v>18</v>
      </c>
      <c r="R624" t="s">
        <v>51</v>
      </c>
    </row>
    <row r="625" spans="1:18" x14ac:dyDescent="0.35">
      <c r="A625">
        <v>1076</v>
      </c>
      <c r="B625" s="1">
        <v>45275</v>
      </c>
      <c r="C625" s="1" t="str">
        <f>TEXT(Sales[[#This Row],[Sale_Date]],"YYYY")</f>
        <v>2023</v>
      </c>
      <c r="D625" s="1" t="str">
        <f>TEXT(Sales[[#This Row],[Sale_Date]],"MMMM")</f>
        <v>December</v>
      </c>
      <c r="E625" s="1" t="str">
        <f>TEXT(Sales[[#This Row],[Sale_Date]],"DDDD")</f>
        <v>Friday</v>
      </c>
      <c r="F625" t="s">
        <v>13</v>
      </c>
      <c r="G625" t="s">
        <v>20</v>
      </c>
      <c r="H625" s="2">
        <v>2607.4</v>
      </c>
      <c r="I625">
        <v>32</v>
      </c>
      <c r="J625" t="s">
        <v>25</v>
      </c>
      <c r="K625" s="2">
        <v>2636.36</v>
      </c>
      <c r="L625" s="2">
        <v>2696.78</v>
      </c>
      <c r="M625" t="s">
        <v>29</v>
      </c>
      <c r="N625">
        <v>0.09</v>
      </c>
      <c r="O625" s="2">
        <f>(Sales[[#This Row],[Unit_Price]]-Sales[[#This Row],[Discount]]*Sales[[#This Row],[Unit_Price]])</f>
        <v>2454.0698000000002</v>
      </c>
      <c r="P625" t="s">
        <v>17</v>
      </c>
      <c r="Q625" t="s">
        <v>21</v>
      </c>
      <c r="R625" t="s">
        <v>22</v>
      </c>
    </row>
    <row r="626" spans="1:18" x14ac:dyDescent="0.35">
      <c r="A626">
        <v>1009</v>
      </c>
      <c r="B626" s="1">
        <v>44989</v>
      </c>
      <c r="C626" s="1" t="str">
        <f>TEXT(Sales[[#This Row],[Sale_Date]],"YYYY")</f>
        <v>2023</v>
      </c>
      <c r="D626" s="1" t="str">
        <f>TEXT(Sales[[#This Row],[Sale_Date]],"MMMM")</f>
        <v>March</v>
      </c>
      <c r="E626" s="1" t="str">
        <f>TEXT(Sales[[#This Row],[Sale_Date]],"DDDD")</f>
        <v>Saturday</v>
      </c>
      <c r="F626" t="s">
        <v>23</v>
      </c>
      <c r="G626" t="s">
        <v>33</v>
      </c>
      <c r="H626" s="2">
        <v>198.79</v>
      </c>
      <c r="I626">
        <v>1</v>
      </c>
      <c r="J626" t="s">
        <v>28</v>
      </c>
      <c r="K626" s="2">
        <v>3223.07</v>
      </c>
      <c r="L626" s="2">
        <v>3590.83</v>
      </c>
      <c r="M626" t="s">
        <v>29</v>
      </c>
      <c r="N626">
        <v>0.19</v>
      </c>
      <c r="O626" s="2">
        <f>(Sales[[#This Row],[Unit_Price]]-Sales[[#This Row],[Discount]]*Sales[[#This Row],[Unit_Price]])</f>
        <v>2908.5722999999998</v>
      </c>
      <c r="P626" t="s">
        <v>26</v>
      </c>
      <c r="Q626" t="s">
        <v>21</v>
      </c>
      <c r="R626" t="s">
        <v>49</v>
      </c>
    </row>
    <row r="627" spans="1:18" x14ac:dyDescent="0.35">
      <c r="A627">
        <v>1071</v>
      </c>
      <c r="B627" s="1">
        <v>45236</v>
      </c>
      <c r="C627" s="1" t="str">
        <f>TEXT(Sales[[#This Row],[Sale_Date]],"YYYY")</f>
        <v>2023</v>
      </c>
      <c r="D627" s="1" t="str">
        <f>TEXT(Sales[[#This Row],[Sale_Date]],"MMMM")</f>
        <v>November</v>
      </c>
      <c r="E627" s="1" t="str">
        <f>TEXT(Sales[[#This Row],[Sale_Date]],"DDDD")</f>
        <v>Monday</v>
      </c>
      <c r="F627" t="s">
        <v>23</v>
      </c>
      <c r="G627" t="s">
        <v>14</v>
      </c>
      <c r="H627" s="2">
        <v>7262.09</v>
      </c>
      <c r="I627">
        <v>47</v>
      </c>
      <c r="J627" t="s">
        <v>25</v>
      </c>
      <c r="K627" s="2">
        <v>3942.34</v>
      </c>
      <c r="L627" s="2">
        <v>4142.09</v>
      </c>
      <c r="M627" t="s">
        <v>16</v>
      </c>
      <c r="N627">
        <v>0.03</v>
      </c>
      <c r="O627" s="2">
        <f>(Sales[[#This Row],[Unit_Price]]-Sales[[#This Row],[Discount]]*Sales[[#This Row],[Unit_Price]])</f>
        <v>4017.8272999999999</v>
      </c>
      <c r="P627" t="s">
        <v>30</v>
      </c>
      <c r="Q627" t="s">
        <v>21</v>
      </c>
      <c r="R627" t="s">
        <v>44</v>
      </c>
    </row>
    <row r="628" spans="1:18" x14ac:dyDescent="0.35">
      <c r="A628">
        <v>1028</v>
      </c>
      <c r="B628" s="1">
        <v>45169</v>
      </c>
      <c r="C628" s="1" t="str">
        <f>TEXT(Sales[[#This Row],[Sale_Date]],"YYYY")</f>
        <v>2023</v>
      </c>
      <c r="D628" s="1" t="str">
        <f>TEXT(Sales[[#This Row],[Sale_Date]],"MMMM")</f>
        <v>August</v>
      </c>
      <c r="E628" s="1" t="str">
        <f>TEXT(Sales[[#This Row],[Sale_Date]],"DDDD")</f>
        <v>Thursday</v>
      </c>
      <c r="F628" t="s">
        <v>37</v>
      </c>
      <c r="G628" t="s">
        <v>14</v>
      </c>
      <c r="H628" s="2">
        <v>5403</v>
      </c>
      <c r="I628">
        <v>28</v>
      </c>
      <c r="J628" t="s">
        <v>15</v>
      </c>
      <c r="K628" s="2">
        <v>2055.2800000000002</v>
      </c>
      <c r="L628" s="2">
        <v>2449.64</v>
      </c>
      <c r="M628" t="s">
        <v>29</v>
      </c>
      <c r="N628">
        <v>0.19</v>
      </c>
      <c r="O628" s="2">
        <f>(Sales[[#This Row],[Unit_Price]]-Sales[[#This Row],[Discount]]*Sales[[#This Row],[Unit_Price]])</f>
        <v>1984.2084</v>
      </c>
      <c r="P628" t="s">
        <v>30</v>
      </c>
      <c r="Q628" t="s">
        <v>18</v>
      </c>
      <c r="R628" t="s">
        <v>39</v>
      </c>
    </row>
    <row r="629" spans="1:18" x14ac:dyDescent="0.35">
      <c r="A629">
        <v>1078</v>
      </c>
      <c r="B629" s="1">
        <v>45292</v>
      </c>
      <c r="C629" s="1" t="str">
        <f>TEXT(Sales[[#This Row],[Sale_Date]],"YYYY")</f>
        <v>2024</v>
      </c>
      <c r="D629" s="1" t="str">
        <f>TEXT(Sales[[#This Row],[Sale_Date]],"MMMM")</f>
        <v>January</v>
      </c>
      <c r="E629" s="1" t="str">
        <f>TEXT(Sales[[#This Row],[Sale_Date]],"DDDD")</f>
        <v>Monday</v>
      </c>
      <c r="F629" t="s">
        <v>23</v>
      </c>
      <c r="G629" t="s">
        <v>33</v>
      </c>
      <c r="H629" s="2">
        <v>8377.57</v>
      </c>
      <c r="I629">
        <v>42</v>
      </c>
      <c r="J629" t="s">
        <v>25</v>
      </c>
      <c r="K629" s="2">
        <v>63.41</v>
      </c>
      <c r="L629" s="2">
        <v>314.93</v>
      </c>
      <c r="M629" t="s">
        <v>16</v>
      </c>
      <c r="N629">
        <v>0.03</v>
      </c>
      <c r="O629" s="2">
        <f>(Sales[[#This Row],[Unit_Price]]-Sales[[#This Row],[Discount]]*Sales[[#This Row],[Unit_Price]])</f>
        <v>305.4821</v>
      </c>
      <c r="P629" t="s">
        <v>17</v>
      </c>
      <c r="Q629" t="s">
        <v>21</v>
      </c>
      <c r="R629" t="s">
        <v>49</v>
      </c>
    </row>
    <row r="630" spans="1:18" x14ac:dyDescent="0.35">
      <c r="A630">
        <v>1095</v>
      </c>
      <c r="B630" s="1">
        <v>45256</v>
      </c>
      <c r="C630" s="1" t="str">
        <f>TEXT(Sales[[#This Row],[Sale_Date]],"YYYY")</f>
        <v>2023</v>
      </c>
      <c r="D630" s="1" t="str">
        <f>TEXT(Sales[[#This Row],[Sale_Date]],"MMMM")</f>
        <v>November</v>
      </c>
      <c r="E630" s="1" t="str">
        <f>TEXT(Sales[[#This Row],[Sale_Date]],"DDDD")</f>
        <v>Sunday</v>
      </c>
      <c r="F630" t="s">
        <v>32</v>
      </c>
      <c r="G630" t="s">
        <v>20</v>
      </c>
      <c r="H630" s="2">
        <v>8231.74</v>
      </c>
      <c r="I630">
        <v>7</v>
      </c>
      <c r="J630" t="s">
        <v>25</v>
      </c>
      <c r="K630" s="2">
        <v>4257.24</v>
      </c>
      <c r="L630" s="2">
        <v>4355.87</v>
      </c>
      <c r="M630" t="s">
        <v>16</v>
      </c>
      <c r="N630">
        <v>0.03</v>
      </c>
      <c r="O630" s="2">
        <f>(Sales[[#This Row],[Unit_Price]]-Sales[[#This Row],[Discount]]*Sales[[#This Row],[Unit_Price]])</f>
        <v>4225.1939000000002</v>
      </c>
      <c r="P630" t="s">
        <v>26</v>
      </c>
      <c r="Q630" t="s">
        <v>18</v>
      </c>
      <c r="R630" t="s">
        <v>36</v>
      </c>
    </row>
    <row r="631" spans="1:18" x14ac:dyDescent="0.35">
      <c r="A631">
        <v>1052</v>
      </c>
      <c r="B631" s="1">
        <v>45033</v>
      </c>
      <c r="C631" s="1" t="str">
        <f>TEXT(Sales[[#This Row],[Sale_Date]],"YYYY")</f>
        <v>2023</v>
      </c>
      <c r="D631" s="1" t="str">
        <f>TEXT(Sales[[#This Row],[Sale_Date]],"MMMM")</f>
        <v>April</v>
      </c>
      <c r="E631" s="1" t="str">
        <f>TEXT(Sales[[#This Row],[Sale_Date]],"DDDD")</f>
        <v>Monday</v>
      </c>
      <c r="F631" t="s">
        <v>41</v>
      </c>
      <c r="G631" t="s">
        <v>24</v>
      </c>
      <c r="H631" s="2">
        <v>8448.93</v>
      </c>
      <c r="I631">
        <v>2</v>
      </c>
      <c r="J631" t="s">
        <v>25</v>
      </c>
      <c r="K631" s="2">
        <v>1935.41</v>
      </c>
      <c r="L631" s="2">
        <v>2305.44</v>
      </c>
      <c r="M631" t="s">
        <v>16</v>
      </c>
      <c r="N631">
        <v>0.22</v>
      </c>
      <c r="O631" s="2">
        <f>(Sales[[#This Row],[Unit_Price]]-Sales[[#This Row],[Discount]]*Sales[[#This Row],[Unit_Price]])</f>
        <v>1798.2432000000001</v>
      </c>
      <c r="P631" t="s">
        <v>30</v>
      </c>
      <c r="Q631" t="s">
        <v>18</v>
      </c>
      <c r="R631" t="s">
        <v>42</v>
      </c>
    </row>
    <row r="632" spans="1:18" x14ac:dyDescent="0.35">
      <c r="A632">
        <v>1083</v>
      </c>
      <c r="B632" s="1">
        <v>45152</v>
      </c>
      <c r="C632" s="1" t="str">
        <f>TEXT(Sales[[#This Row],[Sale_Date]],"YYYY")</f>
        <v>2023</v>
      </c>
      <c r="D632" s="1" t="str">
        <f>TEXT(Sales[[#This Row],[Sale_Date]],"MMMM")</f>
        <v>August</v>
      </c>
      <c r="E632" s="1" t="str">
        <f>TEXT(Sales[[#This Row],[Sale_Date]],"DDDD")</f>
        <v>Monday</v>
      </c>
      <c r="F632" t="s">
        <v>37</v>
      </c>
      <c r="G632" t="s">
        <v>20</v>
      </c>
      <c r="H632" s="2">
        <v>4902.4399999999996</v>
      </c>
      <c r="I632">
        <v>42</v>
      </c>
      <c r="J632" t="s">
        <v>28</v>
      </c>
      <c r="K632" s="2">
        <v>2505.41</v>
      </c>
      <c r="L632" s="2">
        <v>2638.96</v>
      </c>
      <c r="M632" t="s">
        <v>29</v>
      </c>
      <c r="N632">
        <v>0.1</v>
      </c>
      <c r="O632" s="2">
        <f>(Sales[[#This Row],[Unit_Price]]-Sales[[#This Row],[Discount]]*Sales[[#This Row],[Unit_Price]])</f>
        <v>2375.0639999999999</v>
      </c>
      <c r="P632" t="s">
        <v>26</v>
      </c>
      <c r="Q632" t="s">
        <v>18</v>
      </c>
      <c r="R632" t="s">
        <v>40</v>
      </c>
    </row>
    <row r="633" spans="1:18" x14ac:dyDescent="0.35">
      <c r="A633">
        <v>1016</v>
      </c>
      <c r="B633" s="1">
        <v>45239</v>
      </c>
      <c r="C633" s="1" t="str">
        <f>TEXT(Sales[[#This Row],[Sale_Date]],"YYYY")</f>
        <v>2023</v>
      </c>
      <c r="D633" s="1" t="str">
        <f>TEXT(Sales[[#This Row],[Sale_Date]],"MMMM")</f>
        <v>November</v>
      </c>
      <c r="E633" s="1" t="str">
        <f>TEXT(Sales[[#This Row],[Sale_Date]],"DDDD")</f>
        <v>Thursday</v>
      </c>
      <c r="F633" t="s">
        <v>32</v>
      </c>
      <c r="G633" t="s">
        <v>24</v>
      </c>
      <c r="H633" s="2">
        <v>3402.92</v>
      </c>
      <c r="I633">
        <v>24</v>
      </c>
      <c r="J633" t="s">
        <v>15</v>
      </c>
      <c r="K633" s="2">
        <v>88.44</v>
      </c>
      <c r="L633" s="2">
        <v>338.94</v>
      </c>
      <c r="M633" t="s">
        <v>29</v>
      </c>
      <c r="N633">
        <v>0.28999999999999998</v>
      </c>
      <c r="O633" s="2">
        <f>(Sales[[#This Row],[Unit_Price]]-Sales[[#This Row],[Discount]]*Sales[[#This Row],[Unit_Price]])</f>
        <v>240.6474</v>
      </c>
      <c r="P633" t="s">
        <v>17</v>
      </c>
      <c r="Q633" t="s">
        <v>18</v>
      </c>
      <c r="R633" t="s">
        <v>43</v>
      </c>
    </row>
    <row r="634" spans="1:18" x14ac:dyDescent="0.35">
      <c r="A634">
        <v>1069</v>
      </c>
      <c r="B634" s="1">
        <v>45144</v>
      </c>
      <c r="C634" s="1" t="str">
        <f>TEXT(Sales[[#This Row],[Sale_Date]],"YYYY")</f>
        <v>2023</v>
      </c>
      <c r="D634" s="1" t="str">
        <f>TEXT(Sales[[#This Row],[Sale_Date]],"MMMM")</f>
        <v>August</v>
      </c>
      <c r="E634" s="1" t="str">
        <f>TEXT(Sales[[#This Row],[Sale_Date]],"DDDD")</f>
        <v>Sunday</v>
      </c>
      <c r="F634" t="s">
        <v>13</v>
      </c>
      <c r="G634" t="s">
        <v>14</v>
      </c>
      <c r="H634" s="2">
        <v>7936.43</v>
      </c>
      <c r="I634">
        <v>4</v>
      </c>
      <c r="J634" t="s">
        <v>34</v>
      </c>
      <c r="K634" s="2">
        <v>2485.86</v>
      </c>
      <c r="L634" s="2">
        <v>2532.87</v>
      </c>
      <c r="M634" t="s">
        <v>29</v>
      </c>
      <c r="N634">
        <v>0.01</v>
      </c>
      <c r="O634" s="2">
        <f>(Sales[[#This Row],[Unit_Price]]-Sales[[#This Row],[Discount]]*Sales[[#This Row],[Unit_Price]])</f>
        <v>2507.5412999999999</v>
      </c>
      <c r="P634" t="s">
        <v>30</v>
      </c>
      <c r="Q634" t="s">
        <v>18</v>
      </c>
      <c r="R634" t="s">
        <v>19</v>
      </c>
    </row>
    <row r="635" spans="1:18" x14ac:dyDescent="0.35">
      <c r="A635">
        <v>1099</v>
      </c>
      <c r="B635" s="1">
        <v>45167</v>
      </c>
      <c r="C635" s="1" t="str">
        <f>TEXT(Sales[[#This Row],[Sale_Date]],"YYYY")</f>
        <v>2023</v>
      </c>
      <c r="D635" s="1" t="str">
        <f>TEXT(Sales[[#This Row],[Sale_Date]],"MMMM")</f>
        <v>August</v>
      </c>
      <c r="E635" s="1" t="str">
        <f>TEXT(Sales[[#This Row],[Sale_Date]],"DDDD")</f>
        <v>Tuesday</v>
      </c>
      <c r="F635" t="s">
        <v>41</v>
      </c>
      <c r="G635" t="s">
        <v>20</v>
      </c>
      <c r="H635" s="2">
        <v>4567.8100000000004</v>
      </c>
      <c r="I635">
        <v>44</v>
      </c>
      <c r="J635" t="s">
        <v>28</v>
      </c>
      <c r="K635" s="2">
        <v>4933.1099999999997</v>
      </c>
      <c r="L635" s="2">
        <v>5245.86</v>
      </c>
      <c r="M635" t="s">
        <v>16</v>
      </c>
      <c r="N635">
        <v>0.13</v>
      </c>
      <c r="O635" s="2">
        <f>(Sales[[#This Row],[Unit_Price]]-Sales[[#This Row],[Discount]]*Sales[[#This Row],[Unit_Price]])</f>
        <v>4563.8981999999996</v>
      </c>
      <c r="P635" t="s">
        <v>26</v>
      </c>
      <c r="Q635" t="s">
        <v>21</v>
      </c>
      <c r="R635" t="s">
        <v>50</v>
      </c>
    </row>
    <row r="636" spans="1:18" x14ac:dyDescent="0.35">
      <c r="A636">
        <v>1012</v>
      </c>
      <c r="B636" s="1">
        <v>45185</v>
      </c>
      <c r="C636" s="1" t="str">
        <f>TEXT(Sales[[#This Row],[Sale_Date]],"YYYY")</f>
        <v>2023</v>
      </c>
      <c r="D636" s="1" t="str">
        <f>TEXT(Sales[[#This Row],[Sale_Date]],"MMMM")</f>
        <v>September</v>
      </c>
      <c r="E636" s="1" t="str">
        <f>TEXT(Sales[[#This Row],[Sale_Date]],"DDDD")</f>
        <v>Saturday</v>
      </c>
      <c r="F636" t="s">
        <v>23</v>
      </c>
      <c r="G636" t="s">
        <v>24</v>
      </c>
      <c r="H636" s="2">
        <v>1916.08</v>
      </c>
      <c r="I636">
        <v>19</v>
      </c>
      <c r="J636" t="s">
        <v>34</v>
      </c>
      <c r="K636" s="2">
        <v>1427.42</v>
      </c>
      <c r="L636" s="2">
        <v>1763.69</v>
      </c>
      <c r="M636" t="s">
        <v>29</v>
      </c>
      <c r="N636">
        <v>0.03</v>
      </c>
      <c r="O636" s="2">
        <f>(Sales[[#This Row],[Unit_Price]]-Sales[[#This Row],[Discount]]*Sales[[#This Row],[Unit_Price]])</f>
        <v>1710.7793000000001</v>
      </c>
      <c r="P636" t="s">
        <v>17</v>
      </c>
      <c r="Q636" t="s">
        <v>21</v>
      </c>
      <c r="R636" t="s">
        <v>27</v>
      </c>
    </row>
    <row r="637" spans="1:18" x14ac:dyDescent="0.35">
      <c r="A637">
        <v>1025</v>
      </c>
      <c r="B637" s="1">
        <v>45188</v>
      </c>
      <c r="C637" s="1" t="str">
        <f>TEXT(Sales[[#This Row],[Sale_Date]],"YYYY")</f>
        <v>2023</v>
      </c>
      <c r="D637" s="1" t="str">
        <f>TEXT(Sales[[#This Row],[Sale_Date]],"MMMM")</f>
        <v>September</v>
      </c>
      <c r="E637" s="1" t="str">
        <f>TEXT(Sales[[#This Row],[Sale_Date]],"DDDD")</f>
        <v>Tuesday</v>
      </c>
      <c r="F637" t="s">
        <v>41</v>
      </c>
      <c r="G637" t="s">
        <v>33</v>
      </c>
      <c r="H637" s="2">
        <v>8564.24</v>
      </c>
      <c r="I637">
        <v>26</v>
      </c>
      <c r="J637" t="s">
        <v>34</v>
      </c>
      <c r="K637" s="2">
        <v>2007.32</v>
      </c>
      <c r="L637" s="2">
        <v>2202.87</v>
      </c>
      <c r="M637" t="s">
        <v>16</v>
      </c>
      <c r="N637">
        <v>0.11</v>
      </c>
      <c r="O637" s="2">
        <f>(Sales[[#This Row],[Unit_Price]]-Sales[[#This Row],[Discount]]*Sales[[#This Row],[Unit_Price]])</f>
        <v>1960.5542999999998</v>
      </c>
      <c r="P637" t="s">
        <v>17</v>
      </c>
      <c r="Q637" t="s">
        <v>18</v>
      </c>
      <c r="R637" t="s">
        <v>51</v>
      </c>
    </row>
    <row r="638" spans="1:18" x14ac:dyDescent="0.35">
      <c r="A638">
        <v>1052</v>
      </c>
      <c r="B638" s="1">
        <v>44931</v>
      </c>
      <c r="C638" s="1" t="str">
        <f>TEXT(Sales[[#This Row],[Sale_Date]],"YYYY")</f>
        <v>2023</v>
      </c>
      <c r="D638" s="1" t="str">
        <f>TEXT(Sales[[#This Row],[Sale_Date]],"MMMM")</f>
        <v>January</v>
      </c>
      <c r="E638" s="1" t="str">
        <f>TEXT(Sales[[#This Row],[Sale_Date]],"DDDD")</f>
        <v>Thursday</v>
      </c>
      <c r="F638" t="s">
        <v>13</v>
      </c>
      <c r="G638" t="s">
        <v>14</v>
      </c>
      <c r="H638" s="2">
        <v>8837.34</v>
      </c>
      <c r="I638">
        <v>11</v>
      </c>
      <c r="J638" t="s">
        <v>28</v>
      </c>
      <c r="K638" s="2">
        <v>3451.59</v>
      </c>
      <c r="L638" s="2">
        <v>3929.26</v>
      </c>
      <c r="M638" t="s">
        <v>29</v>
      </c>
      <c r="N638">
        <v>0.3</v>
      </c>
      <c r="O638" s="2">
        <f>(Sales[[#This Row],[Unit_Price]]-Sales[[#This Row],[Discount]]*Sales[[#This Row],[Unit_Price]])</f>
        <v>2750.482</v>
      </c>
      <c r="P638" t="s">
        <v>30</v>
      </c>
      <c r="Q638" t="s">
        <v>21</v>
      </c>
      <c r="R638" t="s">
        <v>19</v>
      </c>
    </row>
    <row r="639" spans="1:18" x14ac:dyDescent="0.35">
      <c r="A639">
        <v>1085</v>
      </c>
      <c r="B639" s="1">
        <v>45187</v>
      </c>
      <c r="C639" s="1" t="str">
        <f>TEXT(Sales[[#This Row],[Sale_Date]],"YYYY")</f>
        <v>2023</v>
      </c>
      <c r="D639" s="1" t="str">
        <f>TEXT(Sales[[#This Row],[Sale_Date]],"MMMM")</f>
        <v>September</v>
      </c>
      <c r="E639" s="1" t="str">
        <f>TEXT(Sales[[#This Row],[Sale_Date]],"DDDD")</f>
        <v>Monday</v>
      </c>
      <c r="F639" t="s">
        <v>37</v>
      </c>
      <c r="G639" t="s">
        <v>33</v>
      </c>
      <c r="H639" s="2">
        <v>4716.47</v>
      </c>
      <c r="I639">
        <v>40</v>
      </c>
      <c r="J639" t="s">
        <v>28</v>
      </c>
      <c r="K639" s="2">
        <v>4083.23</v>
      </c>
      <c r="L639" s="2">
        <v>4521.57</v>
      </c>
      <c r="M639" t="s">
        <v>29</v>
      </c>
      <c r="N639">
        <v>0.27</v>
      </c>
      <c r="O639" s="2">
        <f>(Sales[[#This Row],[Unit_Price]]-Sales[[#This Row],[Discount]]*Sales[[#This Row],[Unit_Price]])</f>
        <v>3300.7460999999994</v>
      </c>
      <c r="P639" t="s">
        <v>26</v>
      </c>
      <c r="Q639" t="s">
        <v>21</v>
      </c>
      <c r="R639" t="s">
        <v>47</v>
      </c>
    </row>
    <row r="640" spans="1:18" x14ac:dyDescent="0.35">
      <c r="A640">
        <v>1100</v>
      </c>
      <c r="B640" s="1">
        <v>44980</v>
      </c>
      <c r="C640" s="1" t="str">
        <f>TEXT(Sales[[#This Row],[Sale_Date]],"YYYY")</f>
        <v>2023</v>
      </c>
      <c r="D640" s="1" t="str">
        <f>TEXT(Sales[[#This Row],[Sale_Date]],"MMMM")</f>
        <v>February</v>
      </c>
      <c r="E640" s="1" t="str">
        <f>TEXT(Sales[[#This Row],[Sale_Date]],"DDDD")</f>
        <v>Thursday</v>
      </c>
      <c r="F640" t="s">
        <v>37</v>
      </c>
      <c r="G640" t="s">
        <v>14</v>
      </c>
      <c r="H640" s="2">
        <v>849.43</v>
      </c>
      <c r="I640">
        <v>43</v>
      </c>
      <c r="J640" t="s">
        <v>15</v>
      </c>
      <c r="K640" s="2">
        <v>2116.09</v>
      </c>
      <c r="L640" s="2">
        <v>2472.98</v>
      </c>
      <c r="M640" t="s">
        <v>29</v>
      </c>
      <c r="N640">
        <v>0.01</v>
      </c>
      <c r="O640" s="2">
        <f>(Sales[[#This Row],[Unit_Price]]-Sales[[#This Row],[Discount]]*Sales[[#This Row],[Unit_Price]])</f>
        <v>2448.2501999999999</v>
      </c>
      <c r="P640" t="s">
        <v>30</v>
      </c>
      <c r="Q640" t="s">
        <v>21</v>
      </c>
      <c r="R640" t="s">
        <v>39</v>
      </c>
    </row>
    <row r="641" spans="1:18" x14ac:dyDescent="0.35">
      <c r="A641">
        <v>1053</v>
      </c>
      <c r="B641" s="1">
        <v>44973</v>
      </c>
      <c r="C641" s="1" t="str">
        <f>TEXT(Sales[[#This Row],[Sale_Date]],"YYYY")</f>
        <v>2023</v>
      </c>
      <c r="D641" s="1" t="str">
        <f>TEXT(Sales[[#This Row],[Sale_Date]],"MMMM")</f>
        <v>February</v>
      </c>
      <c r="E641" s="1" t="str">
        <f>TEXT(Sales[[#This Row],[Sale_Date]],"DDDD")</f>
        <v>Thursday</v>
      </c>
      <c r="F641" t="s">
        <v>37</v>
      </c>
      <c r="G641" t="s">
        <v>20</v>
      </c>
      <c r="H641" s="2">
        <v>3939.48</v>
      </c>
      <c r="I641">
        <v>11</v>
      </c>
      <c r="J641" t="s">
        <v>15</v>
      </c>
      <c r="K641" s="2">
        <v>1582.86</v>
      </c>
      <c r="L641" s="2">
        <v>1942.55</v>
      </c>
      <c r="M641" t="s">
        <v>29</v>
      </c>
      <c r="N641">
        <v>0.17</v>
      </c>
      <c r="O641" s="2">
        <f>(Sales[[#This Row],[Unit_Price]]-Sales[[#This Row],[Discount]]*Sales[[#This Row],[Unit_Price]])</f>
        <v>1612.3164999999999</v>
      </c>
      <c r="P641" t="s">
        <v>30</v>
      </c>
      <c r="Q641" t="s">
        <v>21</v>
      </c>
      <c r="R641" t="s">
        <v>40</v>
      </c>
    </row>
    <row r="642" spans="1:18" x14ac:dyDescent="0.35">
      <c r="A642">
        <v>1023</v>
      </c>
      <c r="B642" s="1">
        <v>45141</v>
      </c>
      <c r="C642" s="1" t="str">
        <f>TEXT(Sales[[#This Row],[Sale_Date]],"YYYY")</f>
        <v>2023</v>
      </c>
      <c r="D642" s="1" t="str">
        <f>TEXT(Sales[[#This Row],[Sale_Date]],"MMMM")</f>
        <v>August</v>
      </c>
      <c r="E642" s="1" t="str">
        <f>TEXT(Sales[[#This Row],[Sale_Date]],"DDDD")</f>
        <v>Thursday</v>
      </c>
      <c r="F642" t="s">
        <v>23</v>
      </c>
      <c r="G642" t="s">
        <v>20</v>
      </c>
      <c r="H642" s="2">
        <v>8055.02</v>
      </c>
      <c r="I642">
        <v>45</v>
      </c>
      <c r="J642" t="s">
        <v>25</v>
      </c>
      <c r="K642" s="2">
        <v>4692.24</v>
      </c>
      <c r="L642" s="2">
        <v>4825.92</v>
      </c>
      <c r="M642" t="s">
        <v>16</v>
      </c>
      <c r="N642">
        <v>0.19</v>
      </c>
      <c r="O642" s="2">
        <f>(Sales[[#This Row],[Unit_Price]]-Sales[[#This Row],[Discount]]*Sales[[#This Row],[Unit_Price]])</f>
        <v>3908.9952000000003</v>
      </c>
      <c r="P642" t="s">
        <v>26</v>
      </c>
      <c r="Q642" t="s">
        <v>21</v>
      </c>
      <c r="R642" t="s">
        <v>46</v>
      </c>
    </row>
    <row r="643" spans="1:18" x14ac:dyDescent="0.35">
      <c r="A643">
        <v>1016</v>
      </c>
      <c r="B643" s="1">
        <v>45103</v>
      </c>
      <c r="C643" s="1" t="str">
        <f>TEXT(Sales[[#This Row],[Sale_Date]],"YYYY")</f>
        <v>2023</v>
      </c>
      <c r="D643" s="1" t="str">
        <f>TEXT(Sales[[#This Row],[Sale_Date]],"MMMM")</f>
        <v>June</v>
      </c>
      <c r="E643" s="1" t="str">
        <f>TEXT(Sales[[#This Row],[Sale_Date]],"DDDD")</f>
        <v>Monday</v>
      </c>
      <c r="F643" t="s">
        <v>32</v>
      </c>
      <c r="G643" t="s">
        <v>14</v>
      </c>
      <c r="H643" s="2">
        <v>9027.56</v>
      </c>
      <c r="I643">
        <v>3</v>
      </c>
      <c r="J643" t="s">
        <v>34</v>
      </c>
      <c r="K643" s="2">
        <v>3401.87</v>
      </c>
      <c r="L643" s="2">
        <v>3733.71</v>
      </c>
      <c r="M643" t="s">
        <v>16</v>
      </c>
      <c r="N643">
        <v>0.06</v>
      </c>
      <c r="O643" s="2">
        <f>(Sales[[#This Row],[Unit_Price]]-Sales[[#This Row],[Discount]]*Sales[[#This Row],[Unit_Price]])</f>
        <v>3509.6874000000003</v>
      </c>
      <c r="P643" t="s">
        <v>26</v>
      </c>
      <c r="Q643" t="s">
        <v>21</v>
      </c>
      <c r="R643" t="s">
        <v>52</v>
      </c>
    </row>
    <row r="644" spans="1:18" x14ac:dyDescent="0.35">
      <c r="A644">
        <v>1057</v>
      </c>
      <c r="B644" s="1">
        <v>44935</v>
      </c>
      <c r="C644" s="1" t="str">
        <f>TEXT(Sales[[#This Row],[Sale_Date]],"YYYY")</f>
        <v>2023</v>
      </c>
      <c r="D644" s="1" t="str">
        <f>TEXT(Sales[[#This Row],[Sale_Date]],"MMMM")</f>
        <v>January</v>
      </c>
      <c r="E644" s="1" t="str">
        <f>TEXT(Sales[[#This Row],[Sale_Date]],"DDDD")</f>
        <v>Monday</v>
      </c>
      <c r="F644" t="s">
        <v>32</v>
      </c>
      <c r="G644" t="s">
        <v>14</v>
      </c>
      <c r="H644" s="2">
        <v>2114.38</v>
      </c>
      <c r="I644">
        <v>12</v>
      </c>
      <c r="J644" t="s">
        <v>15</v>
      </c>
      <c r="K644" s="2">
        <v>639.16</v>
      </c>
      <c r="L644" s="2">
        <v>746.28</v>
      </c>
      <c r="M644" t="s">
        <v>16</v>
      </c>
      <c r="N644">
        <v>0.04</v>
      </c>
      <c r="O644" s="2">
        <f>(Sales[[#This Row],[Unit_Price]]-Sales[[#This Row],[Discount]]*Sales[[#This Row],[Unit_Price]])</f>
        <v>716.42880000000002</v>
      </c>
      <c r="P644" t="s">
        <v>26</v>
      </c>
      <c r="Q644" t="s">
        <v>21</v>
      </c>
      <c r="R644" t="s">
        <v>52</v>
      </c>
    </row>
    <row r="645" spans="1:18" x14ac:dyDescent="0.35">
      <c r="A645">
        <v>1039</v>
      </c>
      <c r="B645" s="1">
        <v>45025</v>
      </c>
      <c r="C645" s="1" t="str">
        <f>TEXT(Sales[[#This Row],[Sale_Date]],"YYYY")</f>
        <v>2023</v>
      </c>
      <c r="D645" s="1" t="str">
        <f>TEXT(Sales[[#This Row],[Sale_Date]],"MMMM")</f>
        <v>April</v>
      </c>
      <c r="E645" s="1" t="str">
        <f>TEXT(Sales[[#This Row],[Sale_Date]],"DDDD")</f>
        <v>Sunday</v>
      </c>
      <c r="F645" t="s">
        <v>41</v>
      </c>
      <c r="G645" t="s">
        <v>14</v>
      </c>
      <c r="H645" s="2">
        <v>763.04</v>
      </c>
      <c r="I645">
        <v>3</v>
      </c>
      <c r="J645" t="s">
        <v>25</v>
      </c>
      <c r="K645" s="2">
        <v>391.19</v>
      </c>
      <c r="L645" s="2">
        <v>471.75</v>
      </c>
      <c r="M645" t="s">
        <v>16</v>
      </c>
      <c r="N645">
        <v>0.27</v>
      </c>
      <c r="O645" s="2">
        <f>(Sales[[#This Row],[Unit_Price]]-Sales[[#This Row],[Discount]]*Sales[[#This Row],[Unit_Price]])</f>
        <v>344.3775</v>
      </c>
      <c r="P645" t="s">
        <v>17</v>
      </c>
      <c r="Q645" t="s">
        <v>18</v>
      </c>
      <c r="R645" t="s">
        <v>48</v>
      </c>
    </row>
    <row r="646" spans="1:18" x14ac:dyDescent="0.35">
      <c r="A646">
        <v>1053</v>
      </c>
      <c r="B646" s="1">
        <v>44946</v>
      </c>
      <c r="C646" s="1" t="str">
        <f>TEXT(Sales[[#This Row],[Sale_Date]],"YYYY")</f>
        <v>2023</v>
      </c>
      <c r="D646" s="1" t="str">
        <f>TEXT(Sales[[#This Row],[Sale_Date]],"MMMM")</f>
        <v>January</v>
      </c>
      <c r="E646" s="1" t="str">
        <f>TEXT(Sales[[#This Row],[Sale_Date]],"DDDD")</f>
        <v>Friday</v>
      </c>
      <c r="F646" t="s">
        <v>23</v>
      </c>
      <c r="G646" t="s">
        <v>20</v>
      </c>
      <c r="H646" s="2">
        <v>8785.77</v>
      </c>
      <c r="I646">
        <v>42</v>
      </c>
      <c r="J646" t="s">
        <v>15</v>
      </c>
      <c r="K646" s="2">
        <v>2443.5700000000002</v>
      </c>
      <c r="L646" s="2">
        <v>2943.31</v>
      </c>
      <c r="M646" t="s">
        <v>29</v>
      </c>
      <c r="N646">
        <v>0.28999999999999998</v>
      </c>
      <c r="O646" s="2">
        <f>(Sales[[#This Row],[Unit_Price]]-Sales[[#This Row],[Discount]]*Sales[[#This Row],[Unit_Price]])</f>
        <v>2089.7501000000002</v>
      </c>
      <c r="P646" t="s">
        <v>17</v>
      </c>
      <c r="Q646" t="s">
        <v>18</v>
      </c>
      <c r="R646" t="s">
        <v>46</v>
      </c>
    </row>
    <row r="647" spans="1:18" x14ac:dyDescent="0.35">
      <c r="A647">
        <v>1042</v>
      </c>
      <c r="B647" s="1">
        <v>45167</v>
      </c>
      <c r="C647" s="1" t="str">
        <f>TEXT(Sales[[#This Row],[Sale_Date]],"YYYY")</f>
        <v>2023</v>
      </c>
      <c r="D647" s="1" t="str">
        <f>TEXT(Sales[[#This Row],[Sale_Date]],"MMMM")</f>
        <v>August</v>
      </c>
      <c r="E647" s="1" t="str">
        <f>TEXT(Sales[[#This Row],[Sale_Date]],"DDDD")</f>
        <v>Tuesday</v>
      </c>
      <c r="F647" t="s">
        <v>37</v>
      </c>
      <c r="G647" t="s">
        <v>24</v>
      </c>
      <c r="H647" s="2">
        <v>3955.11</v>
      </c>
      <c r="I647">
        <v>27</v>
      </c>
      <c r="J647" t="s">
        <v>28</v>
      </c>
      <c r="K647" s="2">
        <v>1139.45</v>
      </c>
      <c r="L647" s="2">
        <v>1454.41</v>
      </c>
      <c r="M647" t="s">
        <v>16</v>
      </c>
      <c r="N647">
        <v>0.3</v>
      </c>
      <c r="O647" s="2">
        <f>(Sales[[#This Row],[Unit_Price]]-Sales[[#This Row],[Discount]]*Sales[[#This Row],[Unit_Price]])</f>
        <v>1018.087</v>
      </c>
      <c r="P647" t="s">
        <v>26</v>
      </c>
      <c r="Q647" t="s">
        <v>18</v>
      </c>
      <c r="R647" t="s">
        <v>38</v>
      </c>
    </row>
    <row r="648" spans="1:18" x14ac:dyDescent="0.35">
      <c r="A648">
        <v>1058</v>
      </c>
      <c r="B648" s="1">
        <v>44987</v>
      </c>
      <c r="C648" s="1" t="str">
        <f>TEXT(Sales[[#This Row],[Sale_Date]],"YYYY")</f>
        <v>2023</v>
      </c>
      <c r="D648" s="1" t="str">
        <f>TEXT(Sales[[#This Row],[Sale_Date]],"MMMM")</f>
        <v>March</v>
      </c>
      <c r="E648" s="1" t="str">
        <f>TEXT(Sales[[#This Row],[Sale_Date]],"DDDD")</f>
        <v>Thursday</v>
      </c>
      <c r="F648" t="s">
        <v>37</v>
      </c>
      <c r="G648" t="s">
        <v>33</v>
      </c>
      <c r="H648" s="2">
        <v>5463.43</v>
      </c>
      <c r="I648">
        <v>49</v>
      </c>
      <c r="J648" t="s">
        <v>15</v>
      </c>
      <c r="K648" s="2">
        <v>1307.22</v>
      </c>
      <c r="L648" s="2">
        <v>1528.4</v>
      </c>
      <c r="M648" t="s">
        <v>16</v>
      </c>
      <c r="N648">
        <v>0.24</v>
      </c>
      <c r="O648" s="2">
        <f>(Sales[[#This Row],[Unit_Price]]-Sales[[#This Row],[Discount]]*Sales[[#This Row],[Unit_Price]])</f>
        <v>1161.5840000000001</v>
      </c>
      <c r="P648" t="s">
        <v>17</v>
      </c>
      <c r="Q648" t="s">
        <v>21</v>
      </c>
      <c r="R648" t="s">
        <v>47</v>
      </c>
    </row>
    <row r="649" spans="1:18" x14ac:dyDescent="0.35">
      <c r="A649">
        <v>1039</v>
      </c>
      <c r="B649" s="1">
        <v>45104</v>
      </c>
      <c r="C649" s="1" t="str">
        <f>TEXT(Sales[[#This Row],[Sale_Date]],"YYYY")</f>
        <v>2023</v>
      </c>
      <c r="D649" s="1" t="str">
        <f>TEXT(Sales[[#This Row],[Sale_Date]],"MMMM")</f>
        <v>June</v>
      </c>
      <c r="E649" s="1" t="str">
        <f>TEXT(Sales[[#This Row],[Sale_Date]],"DDDD")</f>
        <v>Tuesday</v>
      </c>
      <c r="F649" t="s">
        <v>13</v>
      </c>
      <c r="G649" t="s">
        <v>33</v>
      </c>
      <c r="H649" s="2">
        <v>9683.85</v>
      </c>
      <c r="I649">
        <v>2</v>
      </c>
      <c r="J649" t="s">
        <v>34</v>
      </c>
      <c r="K649" s="2">
        <v>4394.58</v>
      </c>
      <c r="L649" s="2">
        <v>4545.78</v>
      </c>
      <c r="M649" t="s">
        <v>16</v>
      </c>
      <c r="N649">
        <v>0.2</v>
      </c>
      <c r="O649" s="2">
        <f>(Sales[[#This Row],[Unit_Price]]-Sales[[#This Row],[Discount]]*Sales[[#This Row],[Unit_Price]])</f>
        <v>3636.6239999999998</v>
      </c>
      <c r="P649" t="s">
        <v>30</v>
      </c>
      <c r="Q649" t="s">
        <v>21</v>
      </c>
      <c r="R649" t="s">
        <v>45</v>
      </c>
    </row>
    <row r="650" spans="1:18" x14ac:dyDescent="0.35">
      <c r="A650">
        <v>1014</v>
      </c>
      <c r="B650" s="1">
        <v>45264</v>
      </c>
      <c r="C650" s="1" t="str">
        <f>TEXT(Sales[[#This Row],[Sale_Date]],"YYYY")</f>
        <v>2023</v>
      </c>
      <c r="D650" s="1" t="str">
        <f>TEXT(Sales[[#This Row],[Sale_Date]],"MMMM")</f>
        <v>December</v>
      </c>
      <c r="E650" s="1" t="str">
        <f>TEXT(Sales[[#This Row],[Sale_Date]],"DDDD")</f>
        <v>Monday</v>
      </c>
      <c r="F650" t="s">
        <v>13</v>
      </c>
      <c r="G650" t="s">
        <v>20</v>
      </c>
      <c r="H650" s="2">
        <v>758.99</v>
      </c>
      <c r="I650">
        <v>49</v>
      </c>
      <c r="J650" t="s">
        <v>15</v>
      </c>
      <c r="K650" s="2">
        <v>493.35</v>
      </c>
      <c r="L650" s="2">
        <v>799.27</v>
      </c>
      <c r="M650" t="s">
        <v>29</v>
      </c>
      <c r="N650">
        <v>0.1</v>
      </c>
      <c r="O650" s="2">
        <f>(Sales[[#This Row],[Unit_Price]]-Sales[[#This Row],[Discount]]*Sales[[#This Row],[Unit_Price]])</f>
        <v>719.34299999999996</v>
      </c>
      <c r="P650" t="s">
        <v>26</v>
      </c>
      <c r="Q650" t="s">
        <v>18</v>
      </c>
      <c r="R650" t="s">
        <v>22</v>
      </c>
    </row>
    <row r="651" spans="1:18" x14ac:dyDescent="0.35">
      <c r="A651">
        <v>1095</v>
      </c>
      <c r="B651" s="1">
        <v>44988</v>
      </c>
      <c r="C651" s="1" t="str">
        <f>TEXT(Sales[[#This Row],[Sale_Date]],"YYYY")</f>
        <v>2023</v>
      </c>
      <c r="D651" s="1" t="str">
        <f>TEXT(Sales[[#This Row],[Sale_Date]],"MMMM")</f>
        <v>March</v>
      </c>
      <c r="E651" s="1" t="str">
        <f>TEXT(Sales[[#This Row],[Sale_Date]],"DDDD")</f>
        <v>Friday</v>
      </c>
      <c r="F651" t="s">
        <v>37</v>
      </c>
      <c r="G651" t="s">
        <v>33</v>
      </c>
      <c r="H651" s="2">
        <v>6518.35</v>
      </c>
      <c r="I651">
        <v>16</v>
      </c>
      <c r="J651" t="s">
        <v>34</v>
      </c>
      <c r="K651" s="2">
        <v>3591.05</v>
      </c>
      <c r="L651" s="2">
        <v>3625.35</v>
      </c>
      <c r="M651" t="s">
        <v>16</v>
      </c>
      <c r="N651">
        <v>0.05</v>
      </c>
      <c r="O651" s="2">
        <f>(Sales[[#This Row],[Unit_Price]]-Sales[[#This Row],[Discount]]*Sales[[#This Row],[Unit_Price]])</f>
        <v>3444.0825</v>
      </c>
      <c r="P651" t="s">
        <v>30</v>
      </c>
      <c r="Q651" t="s">
        <v>21</v>
      </c>
      <c r="R651" t="s">
        <v>47</v>
      </c>
    </row>
    <row r="652" spans="1:18" x14ac:dyDescent="0.35">
      <c r="A652">
        <v>1005</v>
      </c>
      <c r="B652" s="1">
        <v>45071</v>
      </c>
      <c r="C652" s="1" t="str">
        <f>TEXT(Sales[[#This Row],[Sale_Date]],"YYYY")</f>
        <v>2023</v>
      </c>
      <c r="D652" s="1" t="str">
        <f>TEXT(Sales[[#This Row],[Sale_Date]],"MMMM")</f>
        <v>May</v>
      </c>
      <c r="E652" s="1" t="str">
        <f>TEXT(Sales[[#This Row],[Sale_Date]],"DDDD")</f>
        <v>Thursday</v>
      </c>
      <c r="F652" t="s">
        <v>37</v>
      </c>
      <c r="G652" t="s">
        <v>14</v>
      </c>
      <c r="H652" s="2">
        <v>833.64</v>
      </c>
      <c r="I652">
        <v>2</v>
      </c>
      <c r="J652" t="s">
        <v>28</v>
      </c>
      <c r="K652" s="2">
        <v>1392.15</v>
      </c>
      <c r="L652" s="2">
        <v>1448.54</v>
      </c>
      <c r="M652" t="s">
        <v>16</v>
      </c>
      <c r="N652">
        <v>0.02</v>
      </c>
      <c r="O652" s="2">
        <f>(Sales[[#This Row],[Unit_Price]]-Sales[[#This Row],[Discount]]*Sales[[#This Row],[Unit_Price]])</f>
        <v>1419.5691999999999</v>
      </c>
      <c r="P652" t="s">
        <v>26</v>
      </c>
      <c r="Q652" t="s">
        <v>21</v>
      </c>
      <c r="R652" t="s">
        <v>39</v>
      </c>
    </row>
    <row r="653" spans="1:18" x14ac:dyDescent="0.35">
      <c r="A653">
        <v>1035</v>
      </c>
      <c r="B653" s="1">
        <v>45142</v>
      </c>
      <c r="C653" s="1" t="str">
        <f>TEXT(Sales[[#This Row],[Sale_Date]],"YYYY")</f>
        <v>2023</v>
      </c>
      <c r="D653" s="1" t="str">
        <f>TEXT(Sales[[#This Row],[Sale_Date]],"MMMM")</f>
        <v>August</v>
      </c>
      <c r="E653" s="1" t="str">
        <f>TEXT(Sales[[#This Row],[Sale_Date]],"DDDD")</f>
        <v>Friday</v>
      </c>
      <c r="F653" t="s">
        <v>23</v>
      </c>
      <c r="G653" t="s">
        <v>24</v>
      </c>
      <c r="H653" s="2">
        <v>3817.14</v>
      </c>
      <c r="I653">
        <v>30</v>
      </c>
      <c r="J653" t="s">
        <v>34</v>
      </c>
      <c r="K653" s="2">
        <v>3813.62</v>
      </c>
      <c r="L653" s="2">
        <v>3839.72</v>
      </c>
      <c r="M653" t="s">
        <v>29</v>
      </c>
      <c r="N653">
        <v>0.21</v>
      </c>
      <c r="O653" s="2">
        <f>(Sales[[#This Row],[Unit_Price]]-Sales[[#This Row],[Discount]]*Sales[[#This Row],[Unit_Price]])</f>
        <v>3033.3788</v>
      </c>
      <c r="P653" t="s">
        <v>30</v>
      </c>
      <c r="Q653" t="s">
        <v>18</v>
      </c>
      <c r="R653" t="s">
        <v>27</v>
      </c>
    </row>
    <row r="654" spans="1:18" x14ac:dyDescent="0.35">
      <c r="A654">
        <v>1087</v>
      </c>
      <c r="B654" s="1">
        <v>44929</v>
      </c>
      <c r="C654" s="1" t="str">
        <f>TEXT(Sales[[#This Row],[Sale_Date]],"YYYY")</f>
        <v>2023</v>
      </c>
      <c r="D654" s="1" t="str">
        <f>TEXT(Sales[[#This Row],[Sale_Date]],"MMMM")</f>
        <v>January</v>
      </c>
      <c r="E654" s="1" t="str">
        <f>TEXT(Sales[[#This Row],[Sale_Date]],"DDDD")</f>
        <v>Tuesday</v>
      </c>
      <c r="F654" t="s">
        <v>32</v>
      </c>
      <c r="G654" t="s">
        <v>33</v>
      </c>
      <c r="H654" s="2">
        <v>8057.76</v>
      </c>
      <c r="I654">
        <v>20</v>
      </c>
      <c r="J654" t="s">
        <v>15</v>
      </c>
      <c r="K654" s="2">
        <v>3625.94</v>
      </c>
      <c r="L654" s="2">
        <v>3880.53</v>
      </c>
      <c r="M654" t="s">
        <v>29</v>
      </c>
      <c r="N654">
        <v>0.24</v>
      </c>
      <c r="O654" s="2">
        <f>(Sales[[#This Row],[Unit_Price]]-Sales[[#This Row],[Discount]]*Sales[[#This Row],[Unit_Price]])</f>
        <v>2949.2028</v>
      </c>
      <c r="P654" t="s">
        <v>26</v>
      </c>
      <c r="Q654" t="s">
        <v>18</v>
      </c>
      <c r="R654" t="s">
        <v>35</v>
      </c>
    </row>
    <row r="655" spans="1:18" x14ac:dyDescent="0.35">
      <c r="A655">
        <v>1093</v>
      </c>
      <c r="B655" s="1">
        <v>45086</v>
      </c>
      <c r="C655" s="1" t="str">
        <f>TEXT(Sales[[#This Row],[Sale_Date]],"YYYY")</f>
        <v>2023</v>
      </c>
      <c r="D655" s="1" t="str">
        <f>TEXT(Sales[[#This Row],[Sale_Date]],"MMMM")</f>
        <v>June</v>
      </c>
      <c r="E655" s="1" t="str">
        <f>TEXT(Sales[[#This Row],[Sale_Date]],"DDDD")</f>
        <v>Friday</v>
      </c>
      <c r="F655" t="s">
        <v>13</v>
      </c>
      <c r="G655" t="s">
        <v>24</v>
      </c>
      <c r="H655" s="2">
        <v>4391.38</v>
      </c>
      <c r="I655">
        <v>38</v>
      </c>
      <c r="J655" t="s">
        <v>25</v>
      </c>
      <c r="K655" s="2">
        <v>86.59</v>
      </c>
      <c r="L655" s="2">
        <v>390.89</v>
      </c>
      <c r="M655" t="s">
        <v>16</v>
      </c>
      <c r="N655">
        <v>0.25</v>
      </c>
      <c r="O655" s="2">
        <f>(Sales[[#This Row],[Unit_Price]]-Sales[[#This Row],[Discount]]*Sales[[#This Row],[Unit_Price]])</f>
        <v>293.16750000000002</v>
      </c>
      <c r="P655" t="s">
        <v>30</v>
      </c>
      <c r="Q655" t="s">
        <v>18</v>
      </c>
      <c r="R655" t="s">
        <v>31</v>
      </c>
    </row>
    <row r="656" spans="1:18" x14ac:dyDescent="0.35">
      <c r="A656">
        <v>1075</v>
      </c>
      <c r="B656" s="1">
        <v>45153</v>
      </c>
      <c r="C656" s="1" t="str">
        <f>TEXT(Sales[[#This Row],[Sale_Date]],"YYYY")</f>
        <v>2023</v>
      </c>
      <c r="D656" s="1" t="str">
        <f>TEXT(Sales[[#This Row],[Sale_Date]],"MMMM")</f>
        <v>August</v>
      </c>
      <c r="E656" s="1" t="str">
        <f>TEXT(Sales[[#This Row],[Sale_Date]],"DDDD")</f>
        <v>Tuesday</v>
      </c>
      <c r="F656" t="s">
        <v>32</v>
      </c>
      <c r="G656" t="s">
        <v>14</v>
      </c>
      <c r="H656" s="2">
        <v>9972.11</v>
      </c>
      <c r="I656">
        <v>28</v>
      </c>
      <c r="J656" t="s">
        <v>28</v>
      </c>
      <c r="K656" s="2">
        <v>2570.2199999999998</v>
      </c>
      <c r="L656" s="2">
        <v>2610.8399999999901</v>
      </c>
      <c r="M656" t="s">
        <v>16</v>
      </c>
      <c r="N656">
        <v>0.27</v>
      </c>
      <c r="O656" s="2">
        <f>(Sales[[#This Row],[Unit_Price]]-Sales[[#This Row],[Discount]]*Sales[[#This Row],[Unit_Price]])</f>
        <v>1905.9131999999927</v>
      </c>
      <c r="P656" t="s">
        <v>26</v>
      </c>
      <c r="Q656" t="s">
        <v>21</v>
      </c>
      <c r="R656" t="s">
        <v>52</v>
      </c>
    </row>
    <row r="657" spans="1:18" x14ac:dyDescent="0.35">
      <c r="A657">
        <v>1018</v>
      </c>
      <c r="B657" s="1">
        <v>45195</v>
      </c>
      <c r="C657" s="1" t="str">
        <f>TEXT(Sales[[#This Row],[Sale_Date]],"YYYY")</f>
        <v>2023</v>
      </c>
      <c r="D657" s="1" t="str">
        <f>TEXT(Sales[[#This Row],[Sale_Date]],"MMMM")</f>
        <v>September</v>
      </c>
      <c r="E657" s="1" t="str">
        <f>TEXT(Sales[[#This Row],[Sale_Date]],"DDDD")</f>
        <v>Tuesday</v>
      </c>
      <c r="F657" t="s">
        <v>23</v>
      </c>
      <c r="G657" t="s">
        <v>33</v>
      </c>
      <c r="H657" s="2">
        <v>5634.69</v>
      </c>
      <c r="I657">
        <v>25</v>
      </c>
      <c r="J657" t="s">
        <v>15</v>
      </c>
      <c r="K657" s="2">
        <v>739.63</v>
      </c>
      <c r="L657" s="2">
        <v>1103.03</v>
      </c>
      <c r="M657" t="s">
        <v>29</v>
      </c>
      <c r="N657">
        <v>0.26</v>
      </c>
      <c r="O657" s="2">
        <f>(Sales[[#This Row],[Unit_Price]]-Sales[[#This Row],[Discount]]*Sales[[#This Row],[Unit_Price]])</f>
        <v>816.24219999999991</v>
      </c>
      <c r="P657" t="s">
        <v>26</v>
      </c>
      <c r="Q657" t="s">
        <v>21</v>
      </c>
      <c r="R657" t="s">
        <v>49</v>
      </c>
    </row>
    <row r="658" spans="1:18" x14ac:dyDescent="0.35">
      <c r="A658">
        <v>1076</v>
      </c>
      <c r="B658" s="1">
        <v>45046</v>
      </c>
      <c r="C658" s="1" t="str">
        <f>TEXT(Sales[[#This Row],[Sale_Date]],"YYYY")</f>
        <v>2023</v>
      </c>
      <c r="D658" s="1" t="str">
        <f>TEXT(Sales[[#This Row],[Sale_Date]],"MMMM")</f>
        <v>April</v>
      </c>
      <c r="E658" s="1" t="str">
        <f>TEXT(Sales[[#This Row],[Sale_Date]],"DDDD")</f>
        <v>Sunday</v>
      </c>
      <c r="F658" t="s">
        <v>37</v>
      </c>
      <c r="G658" t="s">
        <v>20</v>
      </c>
      <c r="H658" s="2">
        <v>3279.51</v>
      </c>
      <c r="I658">
        <v>32</v>
      </c>
      <c r="J658" t="s">
        <v>28</v>
      </c>
      <c r="K658" s="2">
        <v>4337.82</v>
      </c>
      <c r="L658" s="2">
        <v>4460.71</v>
      </c>
      <c r="M658" t="s">
        <v>16</v>
      </c>
      <c r="N658">
        <v>0.3</v>
      </c>
      <c r="O658" s="2">
        <f>(Sales[[#This Row],[Unit_Price]]-Sales[[#This Row],[Discount]]*Sales[[#This Row],[Unit_Price]])</f>
        <v>3122.4970000000003</v>
      </c>
      <c r="P658" t="s">
        <v>17</v>
      </c>
      <c r="Q658" t="s">
        <v>21</v>
      </c>
      <c r="R658" t="s">
        <v>40</v>
      </c>
    </row>
    <row r="659" spans="1:18" x14ac:dyDescent="0.35">
      <c r="A659">
        <v>1009</v>
      </c>
      <c r="B659" s="1">
        <v>45015</v>
      </c>
      <c r="C659" s="1" t="str">
        <f>TEXT(Sales[[#This Row],[Sale_Date]],"YYYY")</f>
        <v>2023</v>
      </c>
      <c r="D659" s="1" t="str">
        <f>TEXT(Sales[[#This Row],[Sale_Date]],"MMMM")</f>
        <v>March</v>
      </c>
      <c r="E659" s="1" t="str">
        <f>TEXT(Sales[[#This Row],[Sale_Date]],"DDDD")</f>
        <v>Thursday</v>
      </c>
      <c r="F659" t="s">
        <v>32</v>
      </c>
      <c r="G659" t="s">
        <v>24</v>
      </c>
      <c r="H659" s="2">
        <v>2279.1</v>
      </c>
      <c r="I659">
        <v>10</v>
      </c>
      <c r="J659" t="s">
        <v>28</v>
      </c>
      <c r="K659" s="2">
        <v>4364.3500000000004</v>
      </c>
      <c r="L659" s="2">
        <v>4710.1000000000004</v>
      </c>
      <c r="M659" t="s">
        <v>29</v>
      </c>
      <c r="N659">
        <v>7.0000000000000007E-2</v>
      </c>
      <c r="O659" s="2">
        <f>(Sales[[#This Row],[Unit_Price]]-Sales[[#This Row],[Discount]]*Sales[[#This Row],[Unit_Price]])</f>
        <v>4380.393</v>
      </c>
      <c r="P659" t="s">
        <v>30</v>
      </c>
      <c r="Q659" t="s">
        <v>18</v>
      </c>
      <c r="R659" t="s">
        <v>43</v>
      </c>
    </row>
    <row r="660" spans="1:18" x14ac:dyDescent="0.35">
      <c r="A660">
        <v>1074</v>
      </c>
      <c r="B660" s="1">
        <v>45255</v>
      </c>
      <c r="C660" s="1" t="str">
        <f>TEXT(Sales[[#This Row],[Sale_Date]],"YYYY")</f>
        <v>2023</v>
      </c>
      <c r="D660" s="1" t="str">
        <f>TEXT(Sales[[#This Row],[Sale_Date]],"MMMM")</f>
        <v>November</v>
      </c>
      <c r="E660" s="1" t="str">
        <f>TEXT(Sales[[#This Row],[Sale_Date]],"DDDD")</f>
        <v>Saturday</v>
      </c>
      <c r="F660" t="s">
        <v>37</v>
      </c>
      <c r="G660" t="s">
        <v>14</v>
      </c>
      <c r="H660" s="2">
        <v>3570.15</v>
      </c>
      <c r="I660">
        <v>42</v>
      </c>
      <c r="J660" t="s">
        <v>15</v>
      </c>
      <c r="K660" s="2">
        <v>2120.81</v>
      </c>
      <c r="L660" s="2">
        <v>2611.94</v>
      </c>
      <c r="M660" t="s">
        <v>16</v>
      </c>
      <c r="N660">
        <v>0.23</v>
      </c>
      <c r="O660" s="2">
        <f>(Sales[[#This Row],[Unit_Price]]-Sales[[#This Row],[Discount]]*Sales[[#This Row],[Unit_Price]])</f>
        <v>2011.1938</v>
      </c>
      <c r="P660" t="s">
        <v>17</v>
      </c>
      <c r="Q660" t="s">
        <v>18</v>
      </c>
      <c r="R660" t="s">
        <v>39</v>
      </c>
    </row>
    <row r="661" spans="1:18" x14ac:dyDescent="0.35">
      <c r="A661">
        <v>1058</v>
      </c>
      <c r="B661" s="1">
        <v>44994</v>
      </c>
      <c r="C661" s="1" t="str">
        <f>TEXT(Sales[[#This Row],[Sale_Date]],"YYYY")</f>
        <v>2023</v>
      </c>
      <c r="D661" s="1" t="str">
        <f>TEXT(Sales[[#This Row],[Sale_Date]],"MMMM")</f>
        <v>March</v>
      </c>
      <c r="E661" s="1" t="str">
        <f>TEXT(Sales[[#This Row],[Sale_Date]],"DDDD")</f>
        <v>Thursday</v>
      </c>
      <c r="F661" t="s">
        <v>37</v>
      </c>
      <c r="G661" t="s">
        <v>24</v>
      </c>
      <c r="H661" s="2">
        <v>3788.08</v>
      </c>
      <c r="I661">
        <v>40</v>
      </c>
      <c r="J661" t="s">
        <v>15</v>
      </c>
      <c r="K661" s="2">
        <v>2249.7600000000002</v>
      </c>
      <c r="L661" s="2">
        <v>2598.4</v>
      </c>
      <c r="M661" t="s">
        <v>16</v>
      </c>
      <c r="N661">
        <v>0.18</v>
      </c>
      <c r="O661" s="2">
        <f>(Sales[[#This Row],[Unit_Price]]-Sales[[#This Row],[Discount]]*Sales[[#This Row],[Unit_Price]])</f>
        <v>2130.6880000000001</v>
      </c>
      <c r="P661" t="s">
        <v>30</v>
      </c>
      <c r="Q661" t="s">
        <v>21</v>
      </c>
      <c r="R661" t="s">
        <v>38</v>
      </c>
    </row>
    <row r="662" spans="1:18" x14ac:dyDescent="0.35">
      <c r="A662">
        <v>1017</v>
      </c>
      <c r="B662" s="1">
        <v>45283</v>
      </c>
      <c r="C662" s="1" t="str">
        <f>TEXT(Sales[[#This Row],[Sale_Date]],"YYYY")</f>
        <v>2023</v>
      </c>
      <c r="D662" s="1" t="str">
        <f>TEXT(Sales[[#This Row],[Sale_Date]],"MMMM")</f>
        <v>December</v>
      </c>
      <c r="E662" s="1" t="str">
        <f>TEXT(Sales[[#This Row],[Sale_Date]],"DDDD")</f>
        <v>Saturday</v>
      </c>
      <c r="F662" t="s">
        <v>41</v>
      </c>
      <c r="G662" t="s">
        <v>33</v>
      </c>
      <c r="H662" s="2">
        <v>780.27</v>
      </c>
      <c r="I662">
        <v>33</v>
      </c>
      <c r="J662" t="s">
        <v>25</v>
      </c>
      <c r="K662" s="2">
        <v>1551.25</v>
      </c>
      <c r="L662" s="2">
        <v>1994.01</v>
      </c>
      <c r="M662" t="s">
        <v>16</v>
      </c>
      <c r="N662">
        <v>0.08</v>
      </c>
      <c r="O662" s="2">
        <f>(Sales[[#This Row],[Unit_Price]]-Sales[[#This Row],[Discount]]*Sales[[#This Row],[Unit_Price]])</f>
        <v>1834.4892</v>
      </c>
      <c r="P662" t="s">
        <v>17</v>
      </c>
      <c r="Q662" t="s">
        <v>18</v>
      </c>
      <c r="R662" t="s">
        <v>51</v>
      </c>
    </row>
    <row r="663" spans="1:18" x14ac:dyDescent="0.35">
      <c r="A663">
        <v>1007</v>
      </c>
      <c r="B663" s="1">
        <v>45024</v>
      </c>
      <c r="C663" s="1" t="str">
        <f>TEXT(Sales[[#This Row],[Sale_Date]],"YYYY")</f>
        <v>2023</v>
      </c>
      <c r="D663" s="1" t="str">
        <f>TEXT(Sales[[#This Row],[Sale_Date]],"MMMM")</f>
        <v>April</v>
      </c>
      <c r="E663" s="1" t="str">
        <f>TEXT(Sales[[#This Row],[Sale_Date]],"DDDD")</f>
        <v>Saturday</v>
      </c>
      <c r="F663" t="s">
        <v>32</v>
      </c>
      <c r="G663" t="s">
        <v>33</v>
      </c>
      <c r="H663" s="2">
        <v>3758.78</v>
      </c>
      <c r="I663">
        <v>13</v>
      </c>
      <c r="J663" t="s">
        <v>28</v>
      </c>
      <c r="K663" s="2">
        <v>3597.2</v>
      </c>
      <c r="L663" s="2">
        <v>4071.8199999999902</v>
      </c>
      <c r="M663" t="s">
        <v>16</v>
      </c>
      <c r="N663">
        <v>0.28999999999999998</v>
      </c>
      <c r="O663" s="2">
        <f>(Sales[[#This Row],[Unit_Price]]-Sales[[#This Row],[Discount]]*Sales[[#This Row],[Unit_Price]])</f>
        <v>2890.9921999999933</v>
      </c>
      <c r="P663" t="s">
        <v>26</v>
      </c>
      <c r="Q663" t="s">
        <v>18</v>
      </c>
      <c r="R663" t="s">
        <v>35</v>
      </c>
    </row>
    <row r="664" spans="1:18" x14ac:dyDescent="0.35">
      <c r="A664">
        <v>1046</v>
      </c>
      <c r="B664" s="1">
        <v>45193</v>
      </c>
      <c r="C664" s="1" t="str">
        <f>TEXT(Sales[[#This Row],[Sale_Date]],"YYYY")</f>
        <v>2023</v>
      </c>
      <c r="D664" s="1" t="str">
        <f>TEXT(Sales[[#This Row],[Sale_Date]],"MMMM")</f>
        <v>September</v>
      </c>
      <c r="E664" s="1" t="str">
        <f>TEXT(Sales[[#This Row],[Sale_Date]],"DDDD")</f>
        <v>Sunday</v>
      </c>
      <c r="F664" t="s">
        <v>32</v>
      </c>
      <c r="G664" t="s">
        <v>20</v>
      </c>
      <c r="H664" s="2">
        <v>4695.96</v>
      </c>
      <c r="I664">
        <v>41</v>
      </c>
      <c r="J664" t="s">
        <v>28</v>
      </c>
      <c r="K664" s="2">
        <v>1825.37</v>
      </c>
      <c r="L664" s="2">
        <v>2073.88</v>
      </c>
      <c r="M664" t="s">
        <v>16</v>
      </c>
      <c r="N664">
        <v>0.27</v>
      </c>
      <c r="O664" s="2">
        <f>(Sales[[#This Row],[Unit_Price]]-Sales[[#This Row],[Discount]]*Sales[[#This Row],[Unit_Price]])</f>
        <v>1513.9324000000001</v>
      </c>
      <c r="P664" t="s">
        <v>17</v>
      </c>
      <c r="Q664" t="s">
        <v>21</v>
      </c>
      <c r="R664" t="s">
        <v>36</v>
      </c>
    </row>
    <row r="665" spans="1:18" x14ac:dyDescent="0.35">
      <c r="A665">
        <v>1013</v>
      </c>
      <c r="B665" s="1">
        <v>45031</v>
      </c>
      <c r="C665" s="1" t="str">
        <f>TEXT(Sales[[#This Row],[Sale_Date]],"YYYY")</f>
        <v>2023</v>
      </c>
      <c r="D665" s="1" t="str">
        <f>TEXT(Sales[[#This Row],[Sale_Date]],"MMMM")</f>
        <v>April</v>
      </c>
      <c r="E665" s="1" t="str">
        <f>TEXT(Sales[[#This Row],[Sale_Date]],"DDDD")</f>
        <v>Saturday</v>
      </c>
      <c r="F665" t="s">
        <v>37</v>
      </c>
      <c r="G665" t="s">
        <v>14</v>
      </c>
      <c r="H665" s="2">
        <v>7255.1</v>
      </c>
      <c r="I665">
        <v>42</v>
      </c>
      <c r="J665" t="s">
        <v>15</v>
      </c>
      <c r="K665" s="2">
        <v>1375.57</v>
      </c>
      <c r="L665" s="2">
        <v>1729.71</v>
      </c>
      <c r="M665" t="s">
        <v>29</v>
      </c>
      <c r="N665">
        <v>0.04</v>
      </c>
      <c r="O665" s="2">
        <f>(Sales[[#This Row],[Unit_Price]]-Sales[[#This Row],[Discount]]*Sales[[#This Row],[Unit_Price]])</f>
        <v>1660.5216</v>
      </c>
      <c r="P665" t="s">
        <v>17</v>
      </c>
      <c r="Q665" t="s">
        <v>18</v>
      </c>
      <c r="R665" t="s">
        <v>39</v>
      </c>
    </row>
    <row r="666" spans="1:18" x14ac:dyDescent="0.35">
      <c r="A666">
        <v>1040</v>
      </c>
      <c r="B666" s="1">
        <v>45249</v>
      </c>
      <c r="C666" s="1" t="str">
        <f>TEXT(Sales[[#This Row],[Sale_Date]],"YYYY")</f>
        <v>2023</v>
      </c>
      <c r="D666" s="1" t="str">
        <f>TEXT(Sales[[#This Row],[Sale_Date]],"MMMM")</f>
        <v>November</v>
      </c>
      <c r="E666" s="1" t="str">
        <f>TEXT(Sales[[#This Row],[Sale_Date]],"DDDD")</f>
        <v>Sunday</v>
      </c>
      <c r="F666" t="s">
        <v>23</v>
      </c>
      <c r="G666" t="s">
        <v>14</v>
      </c>
      <c r="H666" s="2">
        <v>6601.62</v>
      </c>
      <c r="I666">
        <v>47</v>
      </c>
      <c r="J666" t="s">
        <v>34</v>
      </c>
      <c r="K666" s="2">
        <v>2189.54</v>
      </c>
      <c r="L666" s="2">
        <v>2617</v>
      </c>
      <c r="M666" t="s">
        <v>29</v>
      </c>
      <c r="N666">
        <v>0.01</v>
      </c>
      <c r="O666" s="2">
        <f>(Sales[[#This Row],[Unit_Price]]-Sales[[#This Row],[Discount]]*Sales[[#This Row],[Unit_Price]])</f>
        <v>2590.83</v>
      </c>
      <c r="P666" t="s">
        <v>26</v>
      </c>
      <c r="Q666" t="s">
        <v>18</v>
      </c>
      <c r="R666" t="s">
        <v>44</v>
      </c>
    </row>
    <row r="667" spans="1:18" x14ac:dyDescent="0.35">
      <c r="A667">
        <v>1042</v>
      </c>
      <c r="B667" s="1">
        <v>45049</v>
      </c>
      <c r="C667" s="1" t="str">
        <f>TEXT(Sales[[#This Row],[Sale_Date]],"YYYY")</f>
        <v>2023</v>
      </c>
      <c r="D667" s="1" t="str">
        <f>TEXT(Sales[[#This Row],[Sale_Date]],"MMMM")</f>
        <v>May</v>
      </c>
      <c r="E667" s="1" t="str">
        <f>TEXT(Sales[[#This Row],[Sale_Date]],"DDDD")</f>
        <v>Wednesday</v>
      </c>
      <c r="F667" t="s">
        <v>41</v>
      </c>
      <c r="G667" t="s">
        <v>20</v>
      </c>
      <c r="H667" s="2">
        <v>7116.78</v>
      </c>
      <c r="I667">
        <v>37</v>
      </c>
      <c r="J667" t="s">
        <v>15</v>
      </c>
      <c r="K667" s="2">
        <v>502.86</v>
      </c>
      <c r="L667" s="2">
        <v>687.6</v>
      </c>
      <c r="M667" t="s">
        <v>16</v>
      </c>
      <c r="N667">
        <v>0.21</v>
      </c>
      <c r="O667" s="2">
        <f>(Sales[[#This Row],[Unit_Price]]-Sales[[#This Row],[Discount]]*Sales[[#This Row],[Unit_Price]])</f>
        <v>543.20400000000006</v>
      </c>
      <c r="P667" t="s">
        <v>17</v>
      </c>
      <c r="Q667" t="s">
        <v>18</v>
      </c>
      <c r="R667" t="s">
        <v>50</v>
      </c>
    </row>
    <row r="668" spans="1:18" x14ac:dyDescent="0.35">
      <c r="A668">
        <v>1009</v>
      </c>
      <c r="B668" s="1">
        <v>44955</v>
      </c>
      <c r="C668" s="1" t="str">
        <f>TEXT(Sales[[#This Row],[Sale_Date]],"YYYY")</f>
        <v>2023</v>
      </c>
      <c r="D668" s="1" t="str">
        <f>TEXT(Sales[[#This Row],[Sale_Date]],"MMMM")</f>
        <v>January</v>
      </c>
      <c r="E668" s="1" t="str">
        <f>TEXT(Sales[[#This Row],[Sale_Date]],"DDDD")</f>
        <v>Sunday</v>
      </c>
      <c r="F668" t="s">
        <v>37</v>
      </c>
      <c r="G668" t="s">
        <v>20</v>
      </c>
      <c r="H668" s="2">
        <v>182.8</v>
      </c>
      <c r="I668">
        <v>16</v>
      </c>
      <c r="J668" t="s">
        <v>28</v>
      </c>
      <c r="K668" s="2">
        <v>3745.69</v>
      </c>
      <c r="L668" s="2">
        <v>3883.77</v>
      </c>
      <c r="M668" t="s">
        <v>16</v>
      </c>
      <c r="N668">
        <v>0.18</v>
      </c>
      <c r="O668" s="2">
        <f>(Sales[[#This Row],[Unit_Price]]-Sales[[#This Row],[Discount]]*Sales[[#This Row],[Unit_Price]])</f>
        <v>3184.6914000000002</v>
      </c>
      <c r="P668" t="s">
        <v>26</v>
      </c>
      <c r="Q668" t="s">
        <v>21</v>
      </c>
      <c r="R668" t="s">
        <v>40</v>
      </c>
    </row>
    <row r="669" spans="1:18" x14ac:dyDescent="0.35">
      <c r="A669">
        <v>1050</v>
      </c>
      <c r="B669" s="1">
        <v>45063</v>
      </c>
      <c r="C669" s="1" t="str">
        <f>TEXT(Sales[[#This Row],[Sale_Date]],"YYYY")</f>
        <v>2023</v>
      </c>
      <c r="D669" s="1" t="str">
        <f>TEXT(Sales[[#This Row],[Sale_Date]],"MMMM")</f>
        <v>May</v>
      </c>
      <c r="E669" s="1" t="str">
        <f>TEXT(Sales[[#This Row],[Sale_Date]],"DDDD")</f>
        <v>Wednesday</v>
      </c>
      <c r="F669" t="s">
        <v>13</v>
      </c>
      <c r="G669" t="s">
        <v>14</v>
      </c>
      <c r="H669" s="2">
        <v>2254.91</v>
      </c>
      <c r="I669">
        <v>45</v>
      </c>
      <c r="J669" t="s">
        <v>15</v>
      </c>
      <c r="K669" s="2">
        <v>112.35</v>
      </c>
      <c r="L669" s="2">
        <v>586.17999999999995</v>
      </c>
      <c r="M669" t="s">
        <v>16</v>
      </c>
      <c r="N669">
        <v>0.28000000000000003</v>
      </c>
      <c r="O669" s="2">
        <f>(Sales[[#This Row],[Unit_Price]]-Sales[[#This Row],[Discount]]*Sales[[#This Row],[Unit_Price]])</f>
        <v>422.04959999999994</v>
      </c>
      <c r="P669" t="s">
        <v>30</v>
      </c>
      <c r="Q669" t="s">
        <v>21</v>
      </c>
      <c r="R669" t="s">
        <v>19</v>
      </c>
    </row>
    <row r="670" spans="1:18" x14ac:dyDescent="0.35">
      <c r="A670">
        <v>1027</v>
      </c>
      <c r="B670" s="1">
        <v>45121</v>
      </c>
      <c r="C670" s="1" t="str">
        <f>TEXT(Sales[[#This Row],[Sale_Date]],"YYYY")</f>
        <v>2023</v>
      </c>
      <c r="D670" s="1" t="str">
        <f>TEXT(Sales[[#This Row],[Sale_Date]],"MMMM")</f>
        <v>July</v>
      </c>
      <c r="E670" s="1" t="str">
        <f>TEXT(Sales[[#This Row],[Sale_Date]],"DDDD")</f>
        <v>Friday</v>
      </c>
      <c r="F670" t="s">
        <v>13</v>
      </c>
      <c r="G670" t="s">
        <v>24</v>
      </c>
      <c r="H670" s="2">
        <v>6650.67</v>
      </c>
      <c r="I670">
        <v>22</v>
      </c>
      <c r="J670" t="s">
        <v>25</v>
      </c>
      <c r="K670" s="2">
        <v>3240.2</v>
      </c>
      <c r="L670" s="2">
        <v>3606.0899999999901</v>
      </c>
      <c r="M670" t="s">
        <v>29</v>
      </c>
      <c r="N670">
        <v>7.0000000000000007E-2</v>
      </c>
      <c r="O670" s="2">
        <f>(Sales[[#This Row],[Unit_Price]]-Sales[[#This Row],[Discount]]*Sales[[#This Row],[Unit_Price]])</f>
        <v>3353.663699999991</v>
      </c>
      <c r="P670" t="s">
        <v>17</v>
      </c>
      <c r="Q670" t="s">
        <v>18</v>
      </c>
      <c r="R670" t="s">
        <v>31</v>
      </c>
    </row>
    <row r="671" spans="1:18" x14ac:dyDescent="0.35">
      <c r="A671">
        <v>1066</v>
      </c>
      <c r="B671" s="1">
        <v>45152</v>
      </c>
      <c r="C671" s="1" t="str">
        <f>TEXT(Sales[[#This Row],[Sale_Date]],"YYYY")</f>
        <v>2023</v>
      </c>
      <c r="D671" s="1" t="str">
        <f>TEXT(Sales[[#This Row],[Sale_Date]],"MMMM")</f>
        <v>August</v>
      </c>
      <c r="E671" s="1" t="str">
        <f>TEXT(Sales[[#This Row],[Sale_Date]],"DDDD")</f>
        <v>Monday</v>
      </c>
      <c r="F671" t="s">
        <v>41</v>
      </c>
      <c r="G671" t="s">
        <v>24</v>
      </c>
      <c r="H671" s="2">
        <v>4891.49</v>
      </c>
      <c r="I671">
        <v>20</v>
      </c>
      <c r="J671" t="s">
        <v>34</v>
      </c>
      <c r="K671" s="2">
        <v>955.18</v>
      </c>
      <c r="L671" s="2">
        <v>1072.82</v>
      </c>
      <c r="M671" t="s">
        <v>29</v>
      </c>
      <c r="N671">
        <v>0.03</v>
      </c>
      <c r="O671" s="2">
        <f>(Sales[[#This Row],[Unit_Price]]-Sales[[#This Row],[Discount]]*Sales[[#This Row],[Unit_Price]])</f>
        <v>1040.6353999999999</v>
      </c>
      <c r="P671" t="s">
        <v>26</v>
      </c>
      <c r="Q671" t="s">
        <v>21</v>
      </c>
      <c r="R671" t="s">
        <v>42</v>
      </c>
    </row>
    <row r="672" spans="1:18" x14ac:dyDescent="0.35">
      <c r="A672">
        <v>1005</v>
      </c>
      <c r="B672" s="1">
        <v>45258</v>
      </c>
      <c r="C672" s="1" t="str">
        <f>TEXT(Sales[[#This Row],[Sale_Date]],"YYYY")</f>
        <v>2023</v>
      </c>
      <c r="D672" s="1" t="str">
        <f>TEXT(Sales[[#This Row],[Sale_Date]],"MMMM")</f>
        <v>November</v>
      </c>
      <c r="E672" s="1" t="str">
        <f>TEXT(Sales[[#This Row],[Sale_Date]],"DDDD")</f>
        <v>Tuesday</v>
      </c>
      <c r="F672" t="s">
        <v>23</v>
      </c>
      <c r="G672" t="s">
        <v>20</v>
      </c>
      <c r="H672" s="2">
        <v>152.6</v>
      </c>
      <c r="I672">
        <v>43</v>
      </c>
      <c r="J672" t="s">
        <v>15</v>
      </c>
      <c r="K672" s="2">
        <v>1200.4000000000001</v>
      </c>
      <c r="L672" s="2">
        <v>1430.45</v>
      </c>
      <c r="M672" t="s">
        <v>29</v>
      </c>
      <c r="N672">
        <v>0.08</v>
      </c>
      <c r="O672" s="2">
        <f>(Sales[[#This Row],[Unit_Price]]-Sales[[#This Row],[Discount]]*Sales[[#This Row],[Unit_Price]])</f>
        <v>1316.0140000000001</v>
      </c>
      <c r="P672" t="s">
        <v>26</v>
      </c>
      <c r="Q672" t="s">
        <v>21</v>
      </c>
      <c r="R672" t="s">
        <v>46</v>
      </c>
    </row>
    <row r="673" spans="1:18" x14ac:dyDescent="0.35">
      <c r="A673">
        <v>1029</v>
      </c>
      <c r="B673" s="1">
        <v>45096</v>
      </c>
      <c r="C673" s="1" t="str">
        <f>TEXT(Sales[[#This Row],[Sale_Date]],"YYYY")</f>
        <v>2023</v>
      </c>
      <c r="D673" s="1" t="str">
        <f>TEXT(Sales[[#This Row],[Sale_Date]],"MMMM")</f>
        <v>June</v>
      </c>
      <c r="E673" s="1" t="str">
        <f>TEXT(Sales[[#This Row],[Sale_Date]],"DDDD")</f>
        <v>Monday</v>
      </c>
      <c r="F673" t="s">
        <v>37</v>
      </c>
      <c r="G673" t="s">
        <v>24</v>
      </c>
      <c r="H673" s="2">
        <v>8064.5</v>
      </c>
      <c r="I673">
        <v>27</v>
      </c>
      <c r="J673" t="s">
        <v>25</v>
      </c>
      <c r="K673" s="2">
        <v>3196.38</v>
      </c>
      <c r="L673" s="2">
        <v>3596.64</v>
      </c>
      <c r="M673" t="s">
        <v>29</v>
      </c>
      <c r="N673">
        <v>0.01</v>
      </c>
      <c r="O673" s="2">
        <f>(Sales[[#This Row],[Unit_Price]]-Sales[[#This Row],[Discount]]*Sales[[#This Row],[Unit_Price]])</f>
        <v>3560.6736000000001</v>
      </c>
      <c r="P673" t="s">
        <v>17</v>
      </c>
      <c r="Q673" t="s">
        <v>21</v>
      </c>
      <c r="R673" t="s">
        <v>38</v>
      </c>
    </row>
    <row r="674" spans="1:18" x14ac:dyDescent="0.35">
      <c r="A674">
        <v>1037</v>
      </c>
      <c r="B674" s="1">
        <v>44935</v>
      </c>
      <c r="C674" s="1" t="str">
        <f>TEXT(Sales[[#This Row],[Sale_Date]],"YYYY")</f>
        <v>2023</v>
      </c>
      <c r="D674" s="1" t="str">
        <f>TEXT(Sales[[#This Row],[Sale_Date]],"MMMM")</f>
        <v>January</v>
      </c>
      <c r="E674" s="1" t="str">
        <f>TEXT(Sales[[#This Row],[Sale_Date]],"DDDD")</f>
        <v>Monday</v>
      </c>
      <c r="F674" t="s">
        <v>32</v>
      </c>
      <c r="G674" t="s">
        <v>14</v>
      </c>
      <c r="H674" s="2">
        <v>7750.81</v>
      </c>
      <c r="I674">
        <v>41</v>
      </c>
      <c r="J674" t="s">
        <v>28</v>
      </c>
      <c r="K674" s="2">
        <v>4965.07</v>
      </c>
      <c r="L674" s="2">
        <v>5243.13</v>
      </c>
      <c r="M674" t="s">
        <v>29</v>
      </c>
      <c r="N674">
        <v>0.01</v>
      </c>
      <c r="O674" s="2">
        <f>(Sales[[#This Row],[Unit_Price]]-Sales[[#This Row],[Discount]]*Sales[[#This Row],[Unit_Price]])</f>
        <v>5190.6986999999999</v>
      </c>
      <c r="P674" t="s">
        <v>30</v>
      </c>
      <c r="Q674" t="s">
        <v>18</v>
      </c>
      <c r="R674" t="s">
        <v>52</v>
      </c>
    </row>
    <row r="675" spans="1:18" x14ac:dyDescent="0.35">
      <c r="A675">
        <v>1038</v>
      </c>
      <c r="B675" s="1">
        <v>44966</v>
      </c>
      <c r="C675" s="1" t="str">
        <f>TEXT(Sales[[#This Row],[Sale_Date]],"YYYY")</f>
        <v>2023</v>
      </c>
      <c r="D675" s="1" t="str">
        <f>TEXT(Sales[[#This Row],[Sale_Date]],"MMMM")</f>
        <v>February</v>
      </c>
      <c r="E675" s="1" t="str">
        <f>TEXT(Sales[[#This Row],[Sale_Date]],"DDDD")</f>
        <v>Thursday</v>
      </c>
      <c r="F675" t="s">
        <v>41</v>
      </c>
      <c r="G675" t="s">
        <v>33</v>
      </c>
      <c r="H675" s="2">
        <v>5529.35</v>
      </c>
      <c r="I675">
        <v>16</v>
      </c>
      <c r="J675" t="s">
        <v>15</v>
      </c>
      <c r="K675" s="2">
        <v>3899.7</v>
      </c>
      <c r="L675" s="2">
        <v>4228.18</v>
      </c>
      <c r="M675" t="s">
        <v>29</v>
      </c>
      <c r="N675">
        <v>0.27</v>
      </c>
      <c r="O675" s="2">
        <f>(Sales[[#This Row],[Unit_Price]]-Sales[[#This Row],[Discount]]*Sales[[#This Row],[Unit_Price]])</f>
        <v>3086.5713999999998</v>
      </c>
      <c r="P675" t="s">
        <v>17</v>
      </c>
      <c r="Q675" t="s">
        <v>21</v>
      </c>
      <c r="R675" t="s">
        <v>51</v>
      </c>
    </row>
    <row r="676" spans="1:18" x14ac:dyDescent="0.35">
      <c r="A676">
        <v>1083</v>
      </c>
      <c r="B676" s="1">
        <v>44951</v>
      </c>
      <c r="C676" s="1" t="str">
        <f>TEXT(Sales[[#This Row],[Sale_Date]],"YYYY")</f>
        <v>2023</v>
      </c>
      <c r="D676" s="1" t="str">
        <f>TEXT(Sales[[#This Row],[Sale_Date]],"MMMM")</f>
        <v>January</v>
      </c>
      <c r="E676" s="1" t="str">
        <f>TEXT(Sales[[#This Row],[Sale_Date]],"DDDD")</f>
        <v>Wednesday</v>
      </c>
      <c r="F676" t="s">
        <v>23</v>
      </c>
      <c r="G676" t="s">
        <v>33</v>
      </c>
      <c r="H676" s="2">
        <v>757.99</v>
      </c>
      <c r="I676">
        <v>34</v>
      </c>
      <c r="J676" t="s">
        <v>28</v>
      </c>
      <c r="K676" s="2">
        <v>1167.9100000000001</v>
      </c>
      <c r="L676" s="2">
        <v>1547.26</v>
      </c>
      <c r="M676" t="s">
        <v>29</v>
      </c>
      <c r="N676">
        <v>0.11</v>
      </c>
      <c r="O676" s="2">
        <f>(Sales[[#This Row],[Unit_Price]]-Sales[[#This Row],[Discount]]*Sales[[#This Row],[Unit_Price]])</f>
        <v>1377.0614</v>
      </c>
      <c r="P676" t="s">
        <v>26</v>
      </c>
      <c r="Q676" t="s">
        <v>18</v>
      </c>
      <c r="R676" t="s">
        <v>49</v>
      </c>
    </row>
    <row r="677" spans="1:18" x14ac:dyDescent="0.35">
      <c r="A677">
        <v>1008</v>
      </c>
      <c r="B677" s="1">
        <v>45187</v>
      </c>
      <c r="C677" s="1" t="str">
        <f>TEXT(Sales[[#This Row],[Sale_Date]],"YYYY")</f>
        <v>2023</v>
      </c>
      <c r="D677" s="1" t="str">
        <f>TEXT(Sales[[#This Row],[Sale_Date]],"MMMM")</f>
        <v>September</v>
      </c>
      <c r="E677" s="1" t="str">
        <f>TEXT(Sales[[#This Row],[Sale_Date]],"DDDD")</f>
        <v>Monday</v>
      </c>
      <c r="F677" t="s">
        <v>32</v>
      </c>
      <c r="G677" t="s">
        <v>24</v>
      </c>
      <c r="H677" s="2">
        <v>7688.5</v>
      </c>
      <c r="I677">
        <v>32</v>
      </c>
      <c r="J677" t="s">
        <v>25</v>
      </c>
      <c r="K677" s="2">
        <v>921.32</v>
      </c>
      <c r="L677" s="2">
        <v>1236.0999999999999</v>
      </c>
      <c r="M677" t="s">
        <v>29</v>
      </c>
      <c r="N677">
        <v>0.12</v>
      </c>
      <c r="O677" s="2">
        <f>(Sales[[#This Row],[Unit_Price]]-Sales[[#This Row],[Discount]]*Sales[[#This Row],[Unit_Price]])</f>
        <v>1087.768</v>
      </c>
      <c r="P677" t="s">
        <v>30</v>
      </c>
      <c r="Q677" t="s">
        <v>18</v>
      </c>
      <c r="R677" t="s">
        <v>43</v>
      </c>
    </row>
    <row r="678" spans="1:18" x14ac:dyDescent="0.35">
      <c r="A678">
        <v>1065</v>
      </c>
      <c r="B678" s="1">
        <v>45152</v>
      </c>
      <c r="C678" s="1" t="str">
        <f>TEXT(Sales[[#This Row],[Sale_Date]],"YYYY")</f>
        <v>2023</v>
      </c>
      <c r="D678" s="1" t="str">
        <f>TEXT(Sales[[#This Row],[Sale_Date]],"MMMM")</f>
        <v>August</v>
      </c>
      <c r="E678" s="1" t="str">
        <f>TEXT(Sales[[#This Row],[Sale_Date]],"DDDD")</f>
        <v>Monday</v>
      </c>
      <c r="F678" t="s">
        <v>13</v>
      </c>
      <c r="G678" t="s">
        <v>20</v>
      </c>
      <c r="H678" s="2">
        <v>5878.76</v>
      </c>
      <c r="I678">
        <v>26</v>
      </c>
      <c r="J678" t="s">
        <v>28</v>
      </c>
      <c r="K678" s="2">
        <v>4337.8500000000004</v>
      </c>
      <c r="L678" s="2">
        <v>4612.49</v>
      </c>
      <c r="M678" t="s">
        <v>16</v>
      </c>
      <c r="N678">
        <v>0.01</v>
      </c>
      <c r="O678" s="2">
        <f>(Sales[[#This Row],[Unit_Price]]-Sales[[#This Row],[Discount]]*Sales[[#This Row],[Unit_Price]])</f>
        <v>4566.3651</v>
      </c>
      <c r="P678" t="s">
        <v>17</v>
      </c>
      <c r="Q678" t="s">
        <v>21</v>
      </c>
      <c r="R678" t="s">
        <v>22</v>
      </c>
    </row>
    <row r="679" spans="1:18" x14ac:dyDescent="0.35">
      <c r="A679">
        <v>1086</v>
      </c>
      <c r="B679" s="1">
        <v>45050</v>
      </c>
      <c r="C679" s="1" t="str">
        <f>TEXT(Sales[[#This Row],[Sale_Date]],"YYYY")</f>
        <v>2023</v>
      </c>
      <c r="D679" s="1" t="str">
        <f>TEXT(Sales[[#This Row],[Sale_Date]],"MMMM")</f>
        <v>May</v>
      </c>
      <c r="E679" s="1" t="str">
        <f>TEXT(Sales[[#This Row],[Sale_Date]],"DDDD")</f>
        <v>Thursday</v>
      </c>
      <c r="F679" t="s">
        <v>13</v>
      </c>
      <c r="G679" t="s">
        <v>20</v>
      </c>
      <c r="H679" s="2">
        <v>7841.4</v>
      </c>
      <c r="I679">
        <v>25</v>
      </c>
      <c r="J679" t="s">
        <v>25</v>
      </c>
      <c r="K679" s="2">
        <v>2248.71</v>
      </c>
      <c r="L679" s="2">
        <v>2626.02</v>
      </c>
      <c r="M679" t="s">
        <v>29</v>
      </c>
      <c r="N679">
        <v>0.08</v>
      </c>
      <c r="O679" s="2">
        <f>(Sales[[#This Row],[Unit_Price]]-Sales[[#This Row],[Discount]]*Sales[[#This Row],[Unit_Price]])</f>
        <v>2415.9384</v>
      </c>
      <c r="P679" t="s">
        <v>26</v>
      </c>
      <c r="Q679" t="s">
        <v>18</v>
      </c>
      <c r="R679" t="s">
        <v>22</v>
      </c>
    </row>
    <row r="680" spans="1:18" x14ac:dyDescent="0.35">
      <c r="A680">
        <v>1017</v>
      </c>
      <c r="B680" s="1">
        <v>44964</v>
      </c>
      <c r="C680" s="1" t="str">
        <f>TEXT(Sales[[#This Row],[Sale_Date]],"YYYY")</f>
        <v>2023</v>
      </c>
      <c r="D680" s="1" t="str">
        <f>TEXT(Sales[[#This Row],[Sale_Date]],"MMMM")</f>
        <v>February</v>
      </c>
      <c r="E680" s="1" t="str">
        <f>TEXT(Sales[[#This Row],[Sale_Date]],"DDDD")</f>
        <v>Tuesday</v>
      </c>
      <c r="F680" t="s">
        <v>32</v>
      </c>
      <c r="G680" t="s">
        <v>20</v>
      </c>
      <c r="H680" s="2">
        <v>7542.3</v>
      </c>
      <c r="I680">
        <v>2</v>
      </c>
      <c r="J680" t="s">
        <v>25</v>
      </c>
      <c r="K680" s="2">
        <v>728.41</v>
      </c>
      <c r="L680" s="2">
        <v>1094.92</v>
      </c>
      <c r="M680" t="s">
        <v>29</v>
      </c>
      <c r="N680">
        <v>0.24</v>
      </c>
      <c r="O680" s="2">
        <f>(Sales[[#This Row],[Unit_Price]]-Sales[[#This Row],[Discount]]*Sales[[#This Row],[Unit_Price]])</f>
        <v>832.13920000000007</v>
      </c>
      <c r="P680" t="s">
        <v>17</v>
      </c>
      <c r="Q680" t="s">
        <v>21</v>
      </c>
      <c r="R680" t="s">
        <v>36</v>
      </c>
    </row>
    <row r="681" spans="1:18" x14ac:dyDescent="0.35">
      <c r="A681">
        <v>1071</v>
      </c>
      <c r="B681" s="1">
        <v>45254</v>
      </c>
      <c r="C681" s="1" t="str">
        <f>TEXT(Sales[[#This Row],[Sale_Date]],"YYYY")</f>
        <v>2023</v>
      </c>
      <c r="D681" s="1" t="str">
        <f>TEXT(Sales[[#This Row],[Sale_Date]],"MMMM")</f>
        <v>November</v>
      </c>
      <c r="E681" s="1" t="str">
        <f>TEXT(Sales[[#This Row],[Sale_Date]],"DDDD")</f>
        <v>Friday</v>
      </c>
      <c r="F681" t="s">
        <v>41</v>
      </c>
      <c r="G681" t="s">
        <v>20</v>
      </c>
      <c r="H681" s="2">
        <v>8049.72</v>
      </c>
      <c r="I681">
        <v>12</v>
      </c>
      <c r="J681" t="s">
        <v>25</v>
      </c>
      <c r="K681" s="2">
        <v>4317.95</v>
      </c>
      <c r="L681" s="2">
        <v>4636.59</v>
      </c>
      <c r="M681" t="s">
        <v>29</v>
      </c>
      <c r="N681">
        <v>0.18</v>
      </c>
      <c r="O681" s="2">
        <f>(Sales[[#This Row],[Unit_Price]]-Sales[[#This Row],[Discount]]*Sales[[#This Row],[Unit_Price]])</f>
        <v>3802.0038000000004</v>
      </c>
      <c r="P681" t="s">
        <v>30</v>
      </c>
      <c r="Q681" t="s">
        <v>21</v>
      </c>
      <c r="R681" t="s">
        <v>50</v>
      </c>
    </row>
    <row r="682" spans="1:18" x14ac:dyDescent="0.35">
      <c r="A682">
        <v>1089</v>
      </c>
      <c r="B682" s="1">
        <v>45177</v>
      </c>
      <c r="C682" s="1" t="str">
        <f>TEXT(Sales[[#This Row],[Sale_Date]],"YYYY")</f>
        <v>2023</v>
      </c>
      <c r="D682" s="1" t="str">
        <f>TEXT(Sales[[#This Row],[Sale_Date]],"MMMM")</f>
        <v>September</v>
      </c>
      <c r="E682" s="1" t="str">
        <f>TEXT(Sales[[#This Row],[Sale_Date]],"DDDD")</f>
        <v>Friday</v>
      </c>
      <c r="F682" t="s">
        <v>13</v>
      </c>
      <c r="G682" t="s">
        <v>20</v>
      </c>
      <c r="H682" s="2">
        <v>5228.28</v>
      </c>
      <c r="I682">
        <v>40</v>
      </c>
      <c r="J682" t="s">
        <v>15</v>
      </c>
      <c r="K682" s="2">
        <v>4089.66</v>
      </c>
      <c r="L682" s="2">
        <v>4275.96</v>
      </c>
      <c r="M682" t="s">
        <v>29</v>
      </c>
      <c r="N682">
        <v>0.23</v>
      </c>
      <c r="O682" s="2">
        <f>(Sales[[#This Row],[Unit_Price]]-Sales[[#This Row],[Discount]]*Sales[[#This Row],[Unit_Price]])</f>
        <v>3292.4892</v>
      </c>
      <c r="P682" t="s">
        <v>30</v>
      </c>
      <c r="Q682" t="s">
        <v>18</v>
      </c>
      <c r="R682" t="s">
        <v>22</v>
      </c>
    </row>
    <row r="683" spans="1:18" x14ac:dyDescent="0.35">
      <c r="A683">
        <v>1045</v>
      </c>
      <c r="B683" s="1">
        <v>45102</v>
      </c>
      <c r="C683" s="1" t="str">
        <f>TEXT(Sales[[#This Row],[Sale_Date]],"YYYY")</f>
        <v>2023</v>
      </c>
      <c r="D683" s="1" t="str">
        <f>TEXT(Sales[[#This Row],[Sale_Date]],"MMMM")</f>
        <v>June</v>
      </c>
      <c r="E683" s="1" t="str">
        <f>TEXT(Sales[[#This Row],[Sale_Date]],"DDDD")</f>
        <v>Sunday</v>
      </c>
      <c r="F683" t="s">
        <v>37</v>
      </c>
      <c r="G683" t="s">
        <v>24</v>
      </c>
      <c r="H683" s="2">
        <v>1489.21</v>
      </c>
      <c r="I683">
        <v>9</v>
      </c>
      <c r="J683" t="s">
        <v>28</v>
      </c>
      <c r="K683" s="2">
        <v>4920.34</v>
      </c>
      <c r="L683" s="2">
        <v>5129.1899999999996</v>
      </c>
      <c r="M683" t="s">
        <v>16</v>
      </c>
      <c r="N683">
        <v>0.13</v>
      </c>
      <c r="O683" s="2">
        <f>(Sales[[#This Row],[Unit_Price]]-Sales[[#This Row],[Discount]]*Sales[[#This Row],[Unit_Price]])</f>
        <v>4462.3953000000001</v>
      </c>
      <c r="P683" t="s">
        <v>30</v>
      </c>
      <c r="Q683" t="s">
        <v>18</v>
      </c>
      <c r="R683" t="s">
        <v>38</v>
      </c>
    </row>
    <row r="684" spans="1:18" x14ac:dyDescent="0.35">
      <c r="A684">
        <v>1004</v>
      </c>
      <c r="B684" s="1">
        <v>45016</v>
      </c>
      <c r="C684" s="1" t="str">
        <f>TEXT(Sales[[#This Row],[Sale_Date]],"YYYY")</f>
        <v>2023</v>
      </c>
      <c r="D684" s="1" t="str">
        <f>TEXT(Sales[[#This Row],[Sale_Date]],"MMMM")</f>
        <v>March</v>
      </c>
      <c r="E684" s="1" t="str">
        <f>TEXT(Sales[[#This Row],[Sale_Date]],"DDDD")</f>
        <v>Friday</v>
      </c>
      <c r="F684" t="s">
        <v>32</v>
      </c>
      <c r="G684" t="s">
        <v>33</v>
      </c>
      <c r="H684" s="2">
        <v>6744.46</v>
      </c>
      <c r="I684">
        <v>12</v>
      </c>
      <c r="J684" t="s">
        <v>28</v>
      </c>
      <c r="K684" s="2">
        <v>4553.2299999999996</v>
      </c>
      <c r="L684" s="2">
        <v>5038.74</v>
      </c>
      <c r="M684" t="s">
        <v>29</v>
      </c>
      <c r="N684">
        <v>0.09</v>
      </c>
      <c r="O684" s="2">
        <f>(Sales[[#This Row],[Unit_Price]]-Sales[[#This Row],[Discount]]*Sales[[#This Row],[Unit_Price]])</f>
        <v>4585.2533999999996</v>
      </c>
      <c r="P684" t="s">
        <v>30</v>
      </c>
      <c r="Q684" t="s">
        <v>21</v>
      </c>
      <c r="R684" t="s">
        <v>35</v>
      </c>
    </row>
    <row r="685" spans="1:18" x14ac:dyDescent="0.35">
      <c r="A685">
        <v>1036</v>
      </c>
      <c r="B685" s="1">
        <v>44963</v>
      </c>
      <c r="C685" s="1" t="str">
        <f>TEXT(Sales[[#This Row],[Sale_Date]],"YYYY")</f>
        <v>2023</v>
      </c>
      <c r="D685" s="1" t="str">
        <f>TEXT(Sales[[#This Row],[Sale_Date]],"MMMM")</f>
        <v>February</v>
      </c>
      <c r="E685" s="1" t="str">
        <f>TEXT(Sales[[#This Row],[Sale_Date]],"DDDD")</f>
        <v>Monday</v>
      </c>
      <c r="F685" t="s">
        <v>32</v>
      </c>
      <c r="G685" t="s">
        <v>33</v>
      </c>
      <c r="H685" s="2">
        <v>6242.69</v>
      </c>
      <c r="I685">
        <v>26</v>
      </c>
      <c r="J685" t="s">
        <v>34</v>
      </c>
      <c r="K685" s="2">
        <v>4266.3599999999997</v>
      </c>
      <c r="L685" s="2">
        <v>4331.4299999999903</v>
      </c>
      <c r="M685" t="s">
        <v>16</v>
      </c>
      <c r="N685">
        <v>0.14000000000000001</v>
      </c>
      <c r="O685" s="2">
        <f>(Sales[[#This Row],[Unit_Price]]-Sales[[#This Row],[Discount]]*Sales[[#This Row],[Unit_Price]])</f>
        <v>3725.0297999999916</v>
      </c>
      <c r="P685" t="s">
        <v>30</v>
      </c>
      <c r="Q685" t="s">
        <v>21</v>
      </c>
      <c r="R685" t="s">
        <v>35</v>
      </c>
    </row>
    <row r="686" spans="1:18" x14ac:dyDescent="0.35">
      <c r="A686">
        <v>1070</v>
      </c>
      <c r="B686" s="1">
        <v>45242</v>
      </c>
      <c r="C686" s="1" t="str">
        <f>TEXT(Sales[[#This Row],[Sale_Date]],"YYYY")</f>
        <v>2023</v>
      </c>
      <c r="D686" s="1" t="str">
        <f>TEXT(Sales[[#This Row],[Sale_Date]],"MMMM")</f>
        <v>November</v>
      </c>
      <c r="E686" s="1" t="str">
        <f>TEXT(Sales[[#This Row],[Sale_Date]],"DDDD")</f>
        <v>Sunday</v>
      </c>
      <c r="F686" t="s">
        <v>13</v>
      </c>
      <c r="G686" t="s">
        <v>24</v>
      </c>
      <c r="H686" s="2">
        <v>7448.31</v>
      </c>
      <c r="I686">
        <v>9</v>
      </c>
      <c r="J686" t="s">
        <v>34</v>
      </c>
      <c r="K686" s="2">
        <v>310.24</v>
      </c>
      <c r="L686" s="2">
        <v>451.81</v>
      </c>
      <c r="M686" t="s">
        <v>16</v>
      </c>
      <c r="N686">
        <v>0.1</v>
      </c>
      <c r="O686" s="2">
        <f>(Sales[[#This Row],[Unit_Price]]-Sales[[#This Row],[Discount]]*Sales[[#This Row],[Unit_Price]])</f>
        <v>406.62900000000002</v>
      </c>
      <c r="P686" t="s">
        <v>17</v>
      </c>
      <c r="Q686" t="s">
        <v>21</v>
      </c>
      <c r="R686" t="s">
        <v>31</v>
      </c>
    </row>
    <row r="687" spans="1:18" x14ac:dyDescent="0.35">
      <c r="A687">
        <v>1031</v>
      </c>
      <c r="B687" s="1">
        <v>45102</v>
      </c>
      <c r="C687" s="1" t="str">
        <f>TEXT(Sales[[#This Row],[Sale_Date]],"YYYY")</f>
        <v>2023</v>
      </c>
      <c r="D687" s="1" t="str">
        <f>TEXT(Sales[[#This Row],[Sale_Date]],"MMMM")</f>
        <v>June</v>
      </c>
      <c r="E687" s="1" t="str">
        <f>TEXT(Sales[[#This Row],[Sale_Date]],"DDDD")</f>
        <v>Sunday</v>
      </c>
      <c r="F687" t="s">
        <v>41</v>
      </c>
      <c r="G687" t="s">
        <v>20</v>
      </c>
      <c r="H687" s="2">
        <v>1781.82</v>
      </c>
      <c r="I687">
        <v>10</v>
      </c>
      <c r="J687" t="s">
        <v>34</v>
      </c>
      <c r="K687" s="2">
        <v>566.86</v>
      </c>
      <c r="L687" s="2">
        <v>818.14</v>
      </c>
      <c r="M687" t="s">
        <v>16</v>
      </c>
      <c r="N687">
        <v>0.25</v>
      </c>
      <c r="O687" s="2">
        <f>(Sales[[#This Row],[Unit_Price]]-Sales[[#This Row],[Discount]]*Sales[[#This Row],[Unit_Price]])</f>
        <v>613.60500000000002</v>
      </c>
      <c r="P687" t="s">
        <v>30</v>
      </c>
      <c r="Q687" t="s">
        <v>21</v>
      </c>
      <c r="R687" t="s">
        <v>50</v>
      </c>
    </row>
    <row r="688" spans="1:18" x14ac:dyDescent="0.35">
      <c r="A688">
        <v>1019</v>
      </c>
      <c r="B688" s="1">
        <v>45210</v>
      </c>
      <c r="C688" s="1" t="str">
        <f>TEXT(Sales[[#This Row],[Sale_Date]],"YYYY")</f>
        <v>2023</v>
      </c>
      <c r="D688" s="1" t="str">
        <f>TEXT(Sales[[#This Row],[Sale_Date]],"MMMM")</f>
        <v>October</v>
      </c>
      <c r="E688" s="1" t="str">
        <f>TEXT(Sales[[#This Row],[Sale_Date]],"DDDD")</f>
        <v>Wednesday</v>
      </c>
      <c r="F688" t="s">
        <v>37</v>
      </c>
      <c r="G688" t="s">
        <v>24</v>
      </c>
      <c r="H688" s="2">
        <v>2030.25</v>
      </c>
      <c r="I688">
        <v>32</v>
      </c>
      <c r="J688" t="s">
        <v>34</v>
      </c>
      <c r="K688" s="2">
        <v>2866.47</v>
      </c>
      <c r="L688" s="2">
        <v>3286.47</v>
      </c>
      <c r="M688" t="s">
        <v>29</v>
      </c>
      <c r="N688">
        <v>0.09</v>
      </c>
      <c r="O688" s="2">
        <f>(Sales[[#This Row],[Unit_Price]]-Sales[[#This Row],[Discount]]*Sales[[#This Row],[Unit_Price]])</f>
        <v>2990.6876999999999</v>
      </c>
      <c r="P688" t="s">
        <v>30</v>
      </c>
      <c r="Q688" t="s">
        <v>18</v>
      </c>
      <c r="R688" t="s">
        <v>38</v>
      </c>
    </row>
    <row r="689" spans="1:18" x14ac:dyDescent="0.35">
      <c r="A689">
        <v>1061</v>
      </c>
      <c r="B689" s="1">
        <v>45007</v>
      </c>
      <c r="C689" s="1" t="str">
        <f>TEXT(Sales[[#This Row],[Sale_Date]],"YYYY")</f>
        <v>2023</v>
      </c>
      <c r="D689" s="1" t="str">
        <f>TEXT(Sales[[#This Row],[Sale_Date]],"MMMM")</f>
        <v>March</v>
      </c>
      <c r="E689" s="1" t="str">
        <f>TEXT(Sales[[#This Row],[Sale_Date]],"DDDD")</f>
        <v>Wednesday</v>
      </c>
      <c r="F689" t="s">
        <v>41</v>
      </c>
      <c r="G689" t="s">
        <v>33</v>
      </c>
      <c r="H689" s="2">
        <v>8915.0499999999993</v>
      </c>
      <c r="I689">
        <v>34</v>
      </c>
      <c r="J689" t="s">
        <v>28</v>
      </c>
      <c r="K689" s="2">
        <v>2680.82</v>
      </c>
      <c r="L689" s="2">
        <v>2771.02</v>
      </c>
      <c r="M689" t="s">
        <v>29</v>
      </c>
      <c r="N689">
        <v>0.2</v>
      </c>
      <c r="O689" s="2">
        <f>(Sales[[#This Row],[Unit_Price]]-Sales[[#This Row],[Discount]]*Sales[[#This Row],[Unit_Price]])</f>
        <v>2216.8159999999998</v>
      </c>
      <c r="P689" t="s">
        <v>26</v>
      </c>
      <c r="Q689" t="s">
        <v>18</v>
      </c>
      <c r="R689" t="s">
        <v>51</v>
      </c>
    </row>
    <row r="690" spans="1:18" x14ac:dyDescent="0.35">
      <c r="A690">
        <v>1054</v>
      </c>
      <c r="B690" s="1">
        <v>45040</v>
      </c>
      <c r="C690" s="1" t="str">
        <f>TEXT(Sales[[#This Row],[Sale_Date]],"YYYY")</f>
        <v>2023</v>
      </c>
      <c r="D690" s="1" t="str">
        <f>TEXT(Sales[[#This Row],[Sale_Date]],"MMMM")</f>
        <v>April</v>
      </c>
      <c r="E690" s="1" t="str">
        <f>TEXT(Sales[[#This Row],[Sale_Date]],"DDDD")</f>
        <v>Monday</v>
      </c>
      <c r="F690" t="s">
        <v>23</v>
      </c>
      <c r="G690" t="s">
        <v>14</v>
      </c>
      <c r="H690" s="2">
        <v>7524.78</v>
      </c>
      <c r="I690">
        <v>48</v>
      </c>
      <c r="J690" t="s">
        <v>25</v>
      </c>
      <c r="K690" s="2">
        <v>2316.92</v>
      </c>
      <c r="L690" s="2">
        <v>2462.63</v>
      </c>
      <c r="M690" t="s">
        <v>29</v>
      </c>
      <c r="N690">
        <v>0.04</v>
      </c>
      <c r="O690" s="2">
        <f>(Sales[[#This Row],[Unit_Price]]-Sales[[#This Row],[Discount]]*Sales[[#This Row],[Unit_Price]])</f>
        <v>2364.1248000000001</v>
      </c>
      <c r="P690" t="s">
        <v>30</v>
      </c>
      <c r="Q690" t="s">
        <v>18</v>
      </c>
      <c r="R690" t="s">
        <v>44</v>
      </c>
    </row>
    <row r="691" spans="1:18" x14ac:dyDescent="0.35">
      <c r="A691">
        <v>1039</v>
      </c>
      <c r="B691" s="1">
        <v>44966</v>
      </c>
      <c r="C691" s="1" t="str">
        <f>TEXT(Sales[[#This Row],[Sale_Date]],"YYYY")</f>
        <v>2023</v>
      </c>
      <c r="D691" s="1" t="str">
        <f>TEXT(Sales[[#This Row],[Sale_Date]],"MMMM")</f>
        <v>February</v>
      </c>
      <c r="E691" s="1" t="str">
        <f>TEXT(Sales[[#This Row],[Sale_Date]],"DDDD")</f>
        <v>Thursday</v>
      </c>
      <c r="F691" t="s">
        <v>23</v>
      </c>
      <c r="G691" t="s">
        <v>24</v>
      </c>
      <c r="H691" s="2">
        <v>9091.4599999999991</v>
      </c>
      <c r="I691">
        <v>20</v>
      </c>
      <c r="J691" t="s">
        <v>25</v>
      </c>
      <c r="K691" s="2">
        <v>2014.11</v>
      </c>
      <c r="L691" s="2">
        <v>2056.35</v>
      </c>
      <c r="M691" t="s">
        <v>16</v>
      </c>
      <c r="N691">
        <v>0.21</v>
      </c>
      <c r="O691" s="2">
        <f>(Sales[[#This Row],[Unit_Price]]-Sales[[#This Row],[Discount]]*Sales[[#This Row],[Unit_Price]])</f>
        <v>1624.5165</v>
      </c>
      <c r="P691" t="s">
        <v>26</v>
      </c>
      <c r="Q691" t="s">
        <v>21</v>
      </c>
      <c r="R691" t="s">
        <v>27</v>
      </c>
    </row>
    <row r="692" spans="1:18" x14ac:dyDescent="0.35">
      <c r="A692">
        <v>1091</v>
      </c>
      <c r="B692" s="1">
        <v>45227</v>
      </c>
      <c r="C692" s="1" t="str">
        <f>TEXT(Sales[[#This Row],[Sale_Date]],"YYYY")</f>
        <v>2023</v>
      </c>
      <c r="D692" s="1" t="str">
        <f>TEXT(Sales[[#This Row],[Sale_Date]],"MMMM")</f>
        <v>October</v>
      </c>
      <c r="E692" s="1" t="str">
        <f>TEXT(Sales[[#This Row],[Sale_Date]],"DDDD")</f>
        <v>Saturday</v>
      </c>
      <c r="F692" t="s">
        <v>13</v>
      </c>
      <c r="G692" t="s">
        <v>20</v>
      </c>
      <c r="H692" s="2">
        <v>7611.28</v>
      </c>
      <c r="I692">
        <v>39</v>
      </c>
      <c r="J692" t="s">
        <v>15</v>
      </c>
      <c r="K692" s="2">
        <v>2184.4899999999998</v>
      </c>
      <c r="L692" s="2">
        <v>2540.4199999999901</v>
      </c>
      <c r="M692" t="s">
        <v>16</v>
      </c>
      <c r="N692">
        <v>0.27</v>
      </c>
      <c r="O692" s="2">
        <f>(Sales[[#This Row],[Unit_Price]]-Sales[[#This Row],[Discount]]*Sales[[#This Row],[Unit_Price]])</f>
        <v>1854.5065999999927</v>
      </c>
      <c r="P692" t="s">
        <v>26</v>
      </c>
      <c r="Q692" t="s">
        <v>18</v>
      </c>
      <c r="R692" t="s">
        <v>22</v>
      </c>
    </row>
    <row r="693" spans="1:18" x14ac:dyDescent="0.35">
      <c r="A693">
        <v>1074</v>
      </c>
      <c r="B693" s="1">
        <v>45150</v>
      </c>
      <c r="C693" s="1" t="str">
        <f>TEXT(Sales[[#This Row],[Sale_Date]],"YYYY")</f>
        <v>2023</v>
      </c>
      <c r="D693" s="1" t="str">
        <f>TEXT(Sales[[#This Row],[Sale_Date]],"MMMM")</f>
        <v>August</v>
      </c>
      <c r="E693" s="1" t="str">
        <f>TEXT(Sales[[#This Row],[Sale_Date]],"DDDD")</f>
        <v>Saturday</v>
      </c>
      <c r="F693" t="s">
        <v>13</v>
      </c>
      <c r="G693" t="s">
        <v>33</v>
      </c>
      <c r="H693" s="2">
        <v>6011.84</v>
      </c>
      <c r="I693">
        <v>2</v>
      </c>
      <c r="J693" t="s">
        <v>25</v>
      </c>
      <c r="K693" s="2">
        <v>2868.02</v>
      </c>
      <c r="L693" s="2">
        <v>2994.74</v>
      </c>
      <c r="M693" t="s">
        <v>16</v>
      </c>
      <c r="N693">
        <v>0.18</v>
      </c>
      <c r="O693" s="2">
        <f>(Sales[[#This Row],[Unit_Price]]-Sales[[#This Row],[Discount]]*Sales[[#This Row],[Unit_Price]])</f>
        <v>2455.6867999999999</v>
      </c>
      <c r="P693" t="s">
        <v>26</v>
      </c>
      <c r="Q693" t="s">
        <v>18</v>
      </c>
      <c r="R693" t="s">
        <v>45</v>
      </c>
    </row>
    <row r="694" spans="1:18" x14ac:dyDescent="0.35">
      <c r="A694">
        <v>1090</v>
      </c>
      <c r="B694" s="1">
        <v>45244</v>
      </c>
      <c r="C694" s="1" t="str">
        <f>TEXT(Sales[[#This Row],[Sale_Date]],"YYYY")</f>
        <v>2023</v>
      </c>
      <c r="D694" s="1" t="str">
        <f>TEXT(Sales[[#This Row],[Sale_Date]],"MMMM")</f>
        <v>November</v>
      </c>
      <c r="E694" s="1" t="str">
        <f>TEXT(Sales[[#This Row],[Sale_Date]],"DDDD")</f>
        <v>Tuesday</v>
      </c>
      <c r="F694" t="s">
        <v>13</v>
      </c>
      <c r="G694" t="s">
        <v>33</v>
      </c>
      <c r="H694" s="2">
        <v>6575.91</v>
      </c>
      <c r="I694">
        <v>1</v>
      </c>
      <c r="J694" t="s">
        <v>28</v>
      </c>
      <c r="K694" s="2">
        <v>60.28</v>
      </c>
      <c r="L694" s="2">
        <v>260.73</v>
      </c>
      <c r="M694" t="s">
        <v>16</v>
      </c>
      <c r="N694">
        <v>0.17</v>
      </c>
      <c r="O694" s="2">
        <f>(Sales[[#This Row],[Unit_Price]]-Sales[[#This Row],[Discount]]*Sales[[#This Row],[Unit_Price]])</f>
        <v>216.4059</v>
      </c>
      <c r="P694" t="s">
        <v>17</v>
      </c>
      <c r="Q694" t="s">
        <v>18</v>
      </c>
      <c r="R694" t="s">
        <v>45</v>
      </c>
    </row>
    <row r="695" spans="1:18" x14ac:dyDescent="0.35">
      <c r="A695">
        <v>1019</v>
      </c>
      <c r="B695" s="1">
        <v>45275</v>
      </c>
      <c r="C695" s="1" t="str">
        <f>TEXT(Sales[[#This Row],[Sale_Date]],"YYYY")</f>
        <v>2023</v>
      </c>
      <c r="D695" s="1" t="str">
        <f>TEXT(Sales[[#This Row],[Sale_Date]],"MMMM")</f>
        <v>December</v>
      </c>
      <c r="E695" s="1" t="str">
        <f>TEXT(Sales[[#This Row],[Sale_Date]],"DDDD")</f>
        <v>Friday</v>
      </c>
      <c r="F695" t="s">
        <v>23</v>
      </c>
      <c r="G695" t="s">
        <v>33</v>
      </c>
      <c r="H695" s="2">
        <v>8902.3700000000008</v>
      </c>
      <c r="I695">
        <v>36</v>
      </c>
      <c r="J695" t="s">
        <v>28</v>
      </c>
      <c r="K695" s="2">
        <v>1340.51</v>
      </c>
      <c r="L695" s="2">
        <v>1567.92</v>
      </c>
      <c r="M695" t="s">
        <v>29</v>
      </c>
      <c r="N695">
        <v>0.28999999999999998</v>
      </c>
      <c r="O695" s="2">
        <f>(Sales[[#This Row],[Unit_Price]]-Sales[[#This Row],[Discount]]*Sales[[#This Row],[Unit_Price]])</f>
        <v>1113.2232000000001</v>
      </c>
      <c r="P695" t="s">
        <v>17</v>
      </c>
      <c r="Q695" t="s">
        <v>18</v>
      </c>
      <c r="R695" t="s">
        <v>49</v>
      </c>
    </row>
    <row r="696" spans="1:18" x14ac:dyDescent="0.35">
      <c r="A696">
        <v>1039</v>
      </c>
      <c r="B696" s="1">
        <v>45041</v>
      </c>
      <c r="C696" s="1" t="str">
        <f>TEXT(Sales[[#This Row],[Sale_Date]],"YYYY")</f>
        <v>2023</v>
      </c>
      <c r="D696" s="1" t="str">
        <f>TEXT(Sales[[#This Row],[Sale_Date]],"MMMM")</f>
        <v>April</v>
      </c>
      <c r="E696" s="1" t="str">
        <f>TEXT(Sales[[#This Row],[Sale_Date]],"DDDD")</f>
        <v>Tuesday</v>
      </c>
      <c r="F696" t="s">
        <v>41</v>
      </c>
      <c r="G696" t="s">
        <v>33</v>
      </c>
      <c r="H696" s="2">
        <v>5830.19</v>
      </c>
      <c r="I696">
        <v>24</v>
      </c>
      <c r="J696" t="s">
        <v>28</v>
      </c>
      <c r="K696" s="2">
        <v>2615.48</v>
      </c>
      <c r="L696" s="2">
        <v>3062.22</v>
      </c>
      <c r="M696" t="s">
        <v>29</v>
      </c>
      <c r="N696">
        <v>0.19</v>
      </c>
      <c r="O696" s="2">
        <f>(Sales[[#This Row],[Unit_Price]]-Sales[[#This Row],[Discount]]*Sales[[#This Row],[Unit_Price]])</f>
        <v>2480.3981999999996</v>
      </c>
      <c r="P696" t="s">
        <v>26</v>
      </c>
      <c r="Q696" t="s">
        <v>21</v>
      </c>
      <c r="R696" t="s">
        <v>51</v>
      </c>
    </row>
    <row r="697" spans="1:18" x14ac:dyDescent="0.35">
      <c r="A697">
        <v>1067</v>
      </c>
      <c r="B697" s="1">
        <v>45112</v>
      </c>
      <c r="C697" s="1" t="str">
        <f>TEXT(Sales[[#This Row],[Sale_Date]],"YYYY")</f>
        <v>2023</v>
      </c>
      <c r="D697" s="1" t="str">
        <f>TEXT(Sales[[#This Row],[Sale_Date]],"MMMM")</f>
        <v>July</v>
      </c>
      <c r="E697" s="1" t="str">
        <f>TEXT(Sales[[#This Row],[Sale_Date]],"DDDD")</f>
        <v>Wednesday</v>
      </c>
      <c r="F697" t="s">
        <v>41</v>
      </c>
      <c r="G697" t="s">
        <v>20</v>
      </c>
      <c r="H697" s="2">
        <v>6360.67</v>
      </c>
      <c r="I697">
        <v>27</v>
      </c>
      <c r="J697" t="s">
        <v>15</v>
      </c>
      <c r="K697" s="2">
        <v>3624.97</v>
      </c>
      <c r="L697" s="2">
        <v>3836.52</v>
      </c>
      <c r="M697" t="s">
        <v>29</v>
      </c>
      <c r="N697">
        <v>0.08</v>
      </c>
      <c r="O697" s="2">
        <f>(Sales[[#This Row],[Unit_Price]]-Sales[[#This Row],[Discount]]*Sales[[#This Row],[Unit_Price]])</f>
        <v>3529.5983999999999</v>
      </c>
      <c r="P697" t="s">
        <v>17</v>
      </c>
      <c r="Q697" t="s">
        <v>18</v>
      </c>
      <c r="R697" t="s">
        <v>50</v>
      </c>
    </row>
    <row r="698" spans="1:18" x14ac:dyDescent="0.35">
      <c r="A698">
        <v>1045</v>
      </c>
      <c r="B698" s="1">
        <v>45249</v>
      </c>
      <c r="C698" s="1" t="str">
        <f>TEXT(Sales[[#This Row],[Sale_Date]],"YYYY")</f>
        <v>2023</v>
      </c>
      <c r="D698" s="1" t="str">
        <f>TEXT(Sales[[#This Row],[Sale_Date]],"MMMM")</f>
        <v>November</v>
      </c>
      <c r="E698" s="1" t="str">
        <f>TEXT(Sales[[#This Row],[Sale_Date]],"DDDD")</f>
        <v>Sunday</v>
      </c>
      <c r="F698" t="s">
        <v>13</v>
      </c>
      <c r="G698" t="s">
        <v>14</v>
      </c>
      <c r="H698" s="2">
        <v>1649.12</v>
      </c>
      <c r="I698">
        <v>2</v>
      </c>
      <c r="J698" t="s">
        <v>34</v>
      </c>
      <c r="K698" s="2">
        <v>912.08</v>
      </c>
      <c r="L698" s="2">
        <v>993.24</v>
      </c>
      <c r="M698" t="s">
        <v>16</v>
      </c>
      <c r="N698">
        <v>0.09</v>
      </c>
      <c r="O698" s="2">
        <f>(Sales[[#This Row],[Unit_Price]]-Sales[[#This Row],[Discount]]*Sales[[#This Row],[Unit_Price]])</f>
        <v>903.84839999999997</v>
      </c>
      <c r="P698" t="s">
        <v>30</v>
      </c>
      <c r="Q698" t="s">
        <v>18</v>
      </c>
      <c r="R698" t="s">
        <v>19</v>
      </c>
    </row>
    <row r="699" spans="1:18" x14ac:dyDescent="0.35">
      <c r="A699">
        <v>1013</v>
      </c>
      <c r="B699" s="1">
        <v>44982</v>
      </c>
      <c r="C699" s="1" t="str">
        <f>TEXT(Sales[[#This Row],[Sale_Date]],"YYYY")</f>
        <v>2023</v>
      </c>
      <c r="D699" s="1" t="str">
        <f>TEXT(Sales[[#This Row],[Sale_Date]],"MMMM")</f>
        <v>February</v>
      </c>
      <c r="E699" s="1" t="str">
        <f>TEXT(Sales[[#This Row],[Sale_Date]],"DDDD")</f>
        <v>Saturday</v>
      </c>
      <c r="F699" t="s">
        <v>37</v>
      </c>
      <c r="G699" t="s">
        <v>33</v>
      </c>
      <c r="H699" s="2">
        <v>4791.82</v>
      </c>
      <c r="I699">
        <v>31</v>
      </c>
      <c r="J699" t="s">
        <v>25</v>
      </c>
      <c r="K699" s="2">
        <v>2757.06</v>
      </c>
      <c r="L699" s="2">
        <v>3023.97</v>
      </c>
      <c r="M699" t="s">
        <v>16</v>
      </c>
      <c r="N699">
        <v>0.21</v>
      </c>
      <c r="O699" s="2">
        <f>(Sales[[#This Row],[Unit_Price]]-Sales[[#This Row],[Discount]]*Sales[[#This Row],[Unit_Price]])</f>
        <v>2388.9362999999998</v>
      </c>
      <c r="P699" t="s">
        <v>17</v>
      </c>
      <c r="Q699" t="s">
        <v>18</v>
      </c>
      <c r="R699" t="s">
        <v>47</v>
      </c>
    </row>
    <row r="700" spans="1:18" x14ac:dyDescent="0.35">
      <c r="A700">
        <v>1092</v>
      </c>
      <c r="B700" s="1">
        <v>44966</v>
      </c>
      <c r="C700" s="1" t="str">
        <f>TEXT(Sales[[#This Row],[Sale_Date]],"YYYY")</f>
        <v>2023</v>
      </c>
      <c r="D700" s="1" t="str">
        <f>TEXT(Sales[[#This Row],[Sale_Date]],"MMMM")</f>
        <v>February</v>
      </c>
      <c r="E700" s="1" t="str">
        <f>TEXT(Sales[[#This Row],[Sale_Date]],"DDDD")</f>
        <v>Thursday</v>
      </c>
      <c r="F700" t="s">
        <v>41</v>
      </c>
      <c r="G700" t="s">
        <v>24</v>
      </c>
      <c r="H700" s="2">
        <v>7192.33</v>
      </c>
      <c r="I700">
        <v>14</v>
      </c>
      <c r="J700" t="s">
        <v>28</v>
      </c>
      <c r="K700" s="2">
        <v>3586.58</v>
      </c>
      <c r="L700" s="2">
        <v>4068.43</v>
      </c>
      <c r="M700" t="s">
        <v>29</v>
      </c>
      <c r="N700">
        <v>0.22</v>
      </c>
      <c r="O700" s="2">
        <f>(Sales[[#This Row],[Unit_Price]]-Sales[[#This Row],[Discount]]*Sales[[#This Row],[Unit_Price]])</f>
        <v>3173.3753999999999</v>
      </c>
      <c r="P700" t="s">
        <v>30</v>
      </c>
      <c r="Q700" t="s">
        <v>18</v>
      </c>
      <c r="R700" t="s">
        <v>42</v>
      </c>
    </row>
    <row r="701" spans="1:18" x14ac:dyDescent="0.35">
      <c r="A701">
        <v>1058</v>
      </c>
      <c r="B701" s="1">
        <v>45280</v>
      </c>
      <c r="C701" s="1" t="str">
        <f>TEXT(Sales[[#This Row],[Sale_Date]],"YYYY")</f>
        <v>2023</v>
      </c>
      <c r="D701" s="1" t="str">
        <f>TEXT(Sales[[#This Row],[Sale_Date]],"MMMM")</f>
        <v>December</v>
      </c>
      <c r="E701" s="1" t="str">
        <f>TEXT(Sales[[#This Row],[Sale_Date]],"DDDD")</f>
        <v>Wednesday</v>
      </c>
      <c r="F701" t="s">
        <v>23</v>
      </c>
      <c r="G701" t="s">
        <v>14</v>
      </c>
      <c r="H701" s="2">
        <v>2782.33</v>
      </c>
      <c r="I701">
        <v>2</v>
      </c>
      <c r="J701" t="s">
        <v>28</v>
      </c>
      <c r="K701" s="2">
        <v>2250.91</v>
      </c>
      <c r="L701" s="2">
        <v>2558.6799999999998</v>
      </c>
      <c r="M701" t="s">
        <v>29</v>
      </c>
      <c r="N701">
        <v>0.09</v>
      </c>
      <c r="O701" s="2">
        <f>(Sales[[#This Row],[Unit_Price]]-Sales[[#This Row],[Discount]]*Sales[[#This Row],[Unit_Price]])</f>
        <v>2328.3987999999999</v>
      </c>
      <c r="P701" t="s">
        <v>30</v>
      </c>
      <c r="Q701" t="s">
        <v>21</v>
      </c>
      <c r="R701" t="s">
        <v>44</v>
      </c>
    </row>
    <row r="702" spans="1:18" x14ac:dyDescent="0.35">
      <c r="A702">
        <v>1020</v>
      </c>
      <c r="B702" s="1">
        <v>44966</v>
      </c>
      <c r="C702" s="1" t="str">
        <f>TEXT(Sales[[#This Row],[Sale_Date]],"YYYY")</f>
        <v>2023</v>
      </c>
      <c r="D702" s="1" t="str">
        <f>TEXT(Sales[[#This Row],[Sale_Date]],"MMMM")</f>
        <v>February</v>
      </c>
      <c r="E702" s="1" t="str">
        <f>TEXT(Sales[[#This Row],[Sale_Date]],"DDDD")</f>
        <v>Thursday</v>
      </c>
      <c r="F702" t="s">
        <v>32</v>
      </c>
      <c r="G702" t="s">
        <v>33</v>
      </c>
      <c r="H702" s="2">
        <v>2102.3200000000002</v>
      </c>
      <c r="I702">
        <v>29</v>
      </c>
      <c r="J702" t="s">
        <v>34</v>
      </c>
      <c r="K702" s="2">
        <v>184.05</v>
      </c>
      <c r="L702" s="2">
        <v>675.91</v>
      </c>
      <c r="M702" t="s">
        <v>16</v>
      </c>
      <c r="N702">
        <v>0.1</v>
      </c>
      <c r="O702" s="2">
        <f>(Sales[[#This Row],[Unit_Price]]-Sales[[#This Row],[Discount]]*Sales[[#This Row],[Unit_Price]])</f>
        <v>608.31899999999996</v>
      </c>
      <c r="P702" t="s">
        <v>17</v>
      </c>
      <c r="Q702" t="s">
        <v>21</v>
      </c>
      <c r="R702" t="s">
        <v>35</v>
      </c>
    </row>
    <row r="703" spans="1:18" x14ac:dyDescent="0.35">
      <c r="A703">
        <v>1092</v>
      </c>
      <c r="B703" s="1">
        <v>45273</v>
      </c>
      <c r="C703" s="1" t="str">
        <f>TEXT(Sales[[#This Row],[Sale_Date]],"YYYY")</f>
        <v>2023</v>
      </c>
      <c r="D703" s="1" t="str">
        <f>TEXT(Sales[[#This Row],[Sale_Date]],"MMMM")</f>
        <v>December</v>
      </c>
      <c r="E703" s="1" t="str">
        <f>TEXT(Sales[[#This Row],[Sale_Date]],"DDDD")</f>
        <v>Wednesday</v>
      </c>
      <c r="F703" t="s">
        <v>32</v>
      </c>
      <c r="G703" t="s">
        <v>14</v>
      </c>
      <c r="H703" s="2">
        <v>3206.89</v>
      </c>
      <c r="I703">
        <v>15</v>
      </c>
      <c r="J703" t="s">
        <v>28</v>
      </c>
      <c r="K703" s="2">
        <v>2273.88</v>
      </c>
      <c r="L703" s="2">
        <v>2696.02</v>
      </c>
      <c r="M703" t="s">
        <v>29</v>
      </c>
      <c r="N703">
        <v>0.3</v>
      </c>
      <c r="O703" s="2">
        <f>(Sales[[#This Row],[Unit_Price]]-Sales[[#This Row],[Discount]]*Sales[[#This Row],[Unit_Price]])</f>
        <v>1887.2139999999999</v>
      </c>
      <c r="P703" t="s">
        <v>17</v>
      </c>
      <c r="Q703" t="s">
        <v>18</v>
      </c>
      <c r="R703" t="s">
        <v>52</v>
      </c>
    </row>
    <row r="704" spans="1:18" x14ac:dyDescent="0.35">
      <c r="A704">
        <v>1072</v>
      </c>
      <c r="B704" s="1">
        <v>45163</v>
      </c>
      <c r="C704" s="1" t="str">
        <f>TEXT(Sales[[#This Row],[Sale_Date]],"YYYY")</f>
        <v>2023</v>
      </c>
      <c r="D704" s="1" t="str">
        <f>TEXT(Sales[[#This Row],[Sale_Date]],"MMMM")</f>
        <v>August</v>
      </c>
      <c r="E704" s="1" t="str">
        <f>TEXT(Sales[[#This Row],[Sale_Date]],"DDDD")</f>
        <v>Friday</v>
      </c>
      <c r="F704" t="s">
        <v>32</v>
      </c>
      <c r="G704" t="s">
        <v>24</v>
      </c>
      <c r="H704" s="2">
        <v>2490.86</v>
      </c>
      <c r="I704">
        <v>12</v>
      </c>
      <c r="J704" t="s">
        <v>25</v>
      </c>
      <c r="K704" s="2">
        <v>1517.4</v>
      </c>
      <c r="L704" s="2">
        <v>1545.02</v>
      </c>
      <c r="M704" t="s">
        <v>29</v>
      </c>
      <c r="N704">
        <v>0.03</v>
      </c>
      <c r="O704" s="2">
        <f>(Sales[[#This Row],[Unit_Price]]-Sales[[#This Row],[Discount]]*Sales[[#This Row],[Unit_Price]])</f>
        <v>1498.6694</v>
      </c>
      <c r="P704" t="s">
        <v>26</v>
      </c>
      <c r="Q704" t="s">
        <v>21</v>
      </c>
      <c r="R704" t="s">
        <v>43</v>
      </c>
    </row>
    <row r="705" spans="1:18" x14ac:dyDescent="0.35">
      <c r="A705">
        <v>1061</v>
      </c>
      <c r="B705" s="1">
        <v>45215</v>
      </c>
      <c r="C705" s="1" t="str">
        <f>TEXT(Sales[[#This Row],[Sale_Date]],"YYYY")</f>
        <v>2023</v>
      </c>
      <c r="D705" s="1" t="str">
        <f>TEXT(Sales[[#This Row],[Sale_Date]],"MMMM")</f>
        <v>October</v>
      </c>
      <c r="E705" s="1" t="str">
        <f>TEXT(Sales[[#This Row],[Sale_Date]],"DDDD")</f>
        <v>Monday</v>
      </c>
      <c r="F705" t="s">
        <v>37</v>
      </c>
      <c r="G705" t="s">
        <v>33</v>
      </c>
      <c r="H705" s="2">
        <v>2227.64</v>
      </c>
      <c r="I705">
        <v>37</v>
      </c>
      <c r="J705" t="s">
        <v>15</v>
      </c>
      <c r="K705" s="2">
        <v>4651.7700000000004</v>
      </c>
      <c r="L705" s="2">
        <v>4984.3900000000003</v>
      </c>
      <c r="M705" t="s">
        <v>16</v>
      </c>
      <c r="N705">
        <v>0.12</v>
      </c>
      <c r="O705" s="2">
        <f>(Sales[[#This Row],[Unit_Price]]-Sales[[#This Row],[Discount]]*Sales[[#This Row],[Unit_Price]])</f>
        <v>4386.2632000000003</v>
      </c>
      <c r="P705" t="s">
        <v>17</v>
      </c>
      <c r="Q705" t="s">
        <v>21</v>
      </c>
      <c r="R705" t="s">
        <v>47</v>
      </c>
    </row>
    <row r="706" spans="1:18" x14ac:dyDescent="0.35">
      <c r="A706">
        <v>1039</v>
      </c>
      <c r="B706" s="1">
        <v>45188</v>
      </c>
      <c r="C706" s="1" t="str">
        <f>TEXT(Sales[[#This Row],[Sale_Date]],"YYYY")</f>
        <v>2023</v>
      </c>
      <c r="D706" s="1" t="str">
        <f>TEXT(Sales[[#This Row],[Sale_Date]],"MMMM")</f>
        <v>September</v>
      </c>
      <c r="E706" s="1" t="str">
        <f>TEXT(Sales[[#This Row],[Sale_Date]],"DDDD")</f>
        <v>Tuesday</v>
      </c>
      <c r="F706" t="s">
        <v>13</v>
      </c>
      <c r="G706" t="s">
        <v>24</v>
      </c>
      <c r="H706" s="2">
        <v>4306.0200000000004</v>
      </c>
      <c r="I706">
        <v>28</v>
      </c>
      <c r="J706" t="s">
        <v>28</v>
      </c>
      <c r="K706" s="2">
        <v>666.84</v>
      </c>
      <c r="L706" s="2">
        <v>817.36</v>
      </c>
      <c r="M706" t="s">
        <v>16</v>
      </c>
      <c r="N706">
        <v>0.02</v>
      </c>
      <c r="O706" s="2">
        <f>(Sales[[#This Row],[Unit_Price]]-Sales[[#This Row],[Discount]]*Sales[[#This Row],[Unit_Price]])</f>
        <v>801.01279999999997</v>
      </c>
      <c r="P706" t="s">
        <v>17</v>
      </c>
      <c r="Q706" t="s">
        <v>21</v>
      </c>
      <c r="R706" t="s">
        <v>31</v>
      </c>
    </row>
    <row r="707" spans="1:18" x14ac:dyDescent="0.35">
      <c r="A707">
        <v>1001</v>
      </c>
      <c r="B707" s="1">
        <v>45142</v>
      </c>
      <c r="C707" s="1" t="str">
        <f>TEXT(Sales[[#This Row],[Sale_Date]],"YYYY")</f>
        <v>2023</v>
      </c>
      <c r="D707" s="1" t="str">
        <f>TEXT(Sales[[#This Row],[Sale_Date]],"MMMM")</f>
        <v>August</v>
      </c>
      <c r="E707" s="1" t="str">
        <f>TEXT(Sales[[#This Row],[Sale_Date]],"DDDD")</f>
        <v>Friday</v>
      </c>
      <c r="F707" t="s">
        <v>23</v>
      </c>
      <c r="G707" t="s">
        <v>20</v>
      </c>
      <c r="H707" s="2">
        <v>9087.6</v>
      </c>
      <c r="I707">
        <v>20</v>
      </c>
      <c r="J707" t="s">
        <v>25</v>
      </c>
      <c r="K707" s="2">
        <v>3279.76</v>
      </c>
      <c r="L707" s="2">
        <v>3563.97</v>
      </c>
      <c r="M707" t="s">
        <v>16</v>
      </c>
      <c r="N707">
        <v>0.25</v>
      </c>
      <c r="O707" s="2">
        <f>(Sales[[#This Row],[Unit_Price]]-Sales[[#This Row],[Discount]]*Sales[[#This Row],[Unit_Price]])</f>
        <v>2672.9775</v>
      </c>
      <c r="P707" t="s">
        <v>17</v>
      </c>
      <c r="Q707" t="s">
        <v>21</v>
      </c>
      <c r="R707" t="s">
        <v>46</v>
      </c>
    </row>
    <row r="708" spans="1:18" x14ac:dyDescent="0.35">
      <c r="A708">
        <v>1003</v>
      </c>
      <c r="B708" s="1">
        <v>45073</v>
      </c>
      <c r="C708" s="1" t="str">
        <f>TEXT(Sales[[#This Row],[Sale_Date]],"YYYY")</f>
        <v>2023</v>
      </c>
      <c r="D708" s="1" t="str">
        <f>TEXT(Sales[[#This Row],[Sale_Date]],"MMMM")</f>
        <v>May</v>
      </c>
      <c r="E708" s="1" t="str">
        <f>TEXT(Sales[[#This Row],[Sale_Date]],"DDDD")</f>
        <v>Saturday</v>
      </c>
      <c r="F708" t="s">
        <v>37</v>
      </c>
      <c r="G708" t="s">
        <v>33</v>
      </c>
      <c r="H708" s="2">
        <v>5119.8900000000003</v>
      </c>
      <c r="I708">
        <v>39</v>
      </c>
      <c r="J708" t="s">
        <v>28</v>
      </c>
      <c r="K708" s="2">
        <v>310.95999999999998</v>
      </c>
      <c r="L708" s="2">
        <v>457.84</v>
      </c>
      <c r="M708" t="s">
        <v>29</v>
      </c>
      <c r="N708">
        <v>0.03</v>
      </c>
      <c r="O708" s="2">
        <f>(Sales[[#This Row],[Unit_Price]]-Sales[[#This Row],[Discount]]*Sales[[#This Row],[Unit_Price]])</f>
        <v>444.10479999999995</v>
      </c>
      <c r="P708" t="s">
        <v>30</v>
      </c>
      <c r="Q708" t="s">
        <v>18</v>
      </c>
      <c r="R708" t="s">
        <v>47</v>
      </c>
    </row>
    <row r="709" spans="1:18" x14ac:dyDescent="0.35">
      <c r="A709">
        <v>1077</v>
      </c>
      <c r="B709" s="1">
        <v>45262</v>
      </c>
      <c r="C709" s="1" t="str">
        <f>TEXT(Sales[[#This Row],[Sale_Date]],"YYYY")</f>
        <v>2023</v>
      </c>
      <c r="D709" s="1" t="str">
        <f>TEXT(Sales[[#This Row],[Sale_Date]],"MMMM")</f>
        <v>December</v>
      </c>
      <c r="E709" s="1" t="str">
        <f>TEXT(Sales[[#This Row],[Sale_Date]],"DDDD")</f>
        <v>Saturday</v>
      </c>
      <c r="F709" t="s">
        <v>23</v>
      </c>
      <c r="G709" t="s">
        <v>33</v>
      </c>
      <c r="H709" s="2">
        <v>1960.41</v>
      </c>
      <c r="I709">
        <v>24</v>
      </c>
      <c r="J709" t="s">
        <v>34</v>
      </c>
      <c r="K709" s="2">
        <v>2258.54</v>
      </c>
      <c r="L709" s="2">
        <v>2439.4899999999998</v>
      </c>
      <c r="M709" t="s">
        <v>16</v>
      </c>
      <c r="N709">
        <v>0.2</v>
      </c>
      <c r="O709" s="2">
        <f>(Sales[[#This Row],[Unit_Price]]-Sales[[#This Row],[Discount]]*Sales[[#This Row],[Unit_Price]])</f>
        <v>1951.5919999999999</v>
      </c>
      <c r="P709" t="s">
        <v>30</v>
      </c>
      <c r="Q709" t="s">
        <v>21</v>
      </c>
      <c r="R709" t="s">
        <v>49</v>
      </c>
    </row>
    <row r="710" spans="1:18" x14ac:dyDescent="0.35">
      <c r="A710">
        <v>1092</v>
      </c>
      <c r="B710" s="1">
        <v>45094</v>
      </c>
      <c r="C710" s="1" t="str">
        <f>TEXT(Sales[[#This Row],[Sale_Date]],"YYYY")</f>
        <v>2023</v>
      </c>
      <c r="D710" s="1" t="str">
        <f>TEXT(Sales[[#This Row],[Sale_Date]],"MMMM")</f>
        <v>June</v>
      </c>
      <c r="E710" s="1" t="str">
        <f>TEXT(Sales[[#This Row],[Sale_Date]],"DDDD")</f>
        <v>Saturday</v>
      </c>
      <c r="F710" t="s">
        <v>23</v>
      </c>
      <c r="G710" t="s">
        <v>33</v>
      </c>
      <c r="H710" s="2">
        <v>862.02</v>
      </c>
      <c r="I710">
        <v>21</v>
      </c>
      <c r="J710" t="s">
        <v>28</v>
      </c>
      <c r="K710" s="2">
        <v>2792.2</v>
      </c>
      <c r="L710" s="2">
        <v>3254.5499999999902</v>
      </c>
      <c r="M710" t="s">
        <v>29</v>
      </c>
      <c r="N710">
        <v>0.02</v>
      </c>
      <c r="O710" s="2">
        <f>(Sales[[#This Row],[Unit_Price]]-Sales[[#This Row],[Discount]]*Sales[[#This Row],[Unit_Price]])</f>
        <v>3189.4589999999903</v>
      </c>
      <c r="P710" t="s">
        <v>30</v>
      </c>
      <c r="Q710" t="s">
        <v>21</v>
      </c>
      <c r="R710" t="s">
        <v>49</v>
      </c>
    </row>
    <row r="711" spans="1:18" x14ac:dyDescent="0.35">
      <c r="A711">
        <v>1062</v>
      </c>
      <c r="B711" s="1">
        <v>45018</v>
      </c>
      <c r="C711" s="1" t="str">
        <f>TEXT(Sales[[#This Row],[Sale_Date]],"YYYY")</f>
        <v>2023</v>
      </c>
      <c r="D711" s="1" t="str">
        <f>TEXT(Sales[[#This Row],[Sale_Date]],"MMMM")</f>
        <v>April</v>
      </c>
      <c r="E711" s="1" t="str">
        <f>TEXT(Sales[[#This Row],[Sale_Date]],"DDDD")</f>
        <v>Sunday</v>
      </c>
      <c r="F711" t="s">
        <v>13</v>
      </c>
      <c r="G711" t="s">
        <v>33</v>
      </c>
      <c r="H711" s="2">
        <v>6991.95</v>
      </c>
      <c r="I711">
        <v>10</v>
      </c>
      <c r="J711" t="s">
        <v>28</v>
      </c>
      <c r="K711" s="2">
        <v>1524.88</v>
      </c>
      <c r="L711" s="2">
        <v>1636.14</v>
      </c>
      <c r="M711" t="s">
        <v>29</v>
      </c>
      <c r="N711">
        <v>0.2</v>
      </c>
      <c r="O711" s="2">
        <f>(Sales[[#This Row],[Unit_Price]]-Sales[[#This Row],[Discount]]*Sales[[#This Row],[Unit_Price]])</f>
        <v>1308.912</v>
      </c>
      <c r="P711" t="s">
        <v>26</v>
      </c>
      <c r="Q711" t="s">
        <v>18</v>
      </c>
      <c r="R711" t="s">
        <v>45</v>
      </c>
    </row>
    <row r="712" spans="1:18" x14ac:dyDescent="0.35">
      <c r="A712">
        <v>1063</v>
      </c>
      <c r="B712" s="1">
        <v>45279</v>
      </c>
      <c r="C712" s="1" t="str">
        <f>TEXT(Sales[[#This Row],[Sale_Date]],"YYYY")</f>
        <v>2023</v>
      </c>
      <c r="D712" s="1" t="str">
        <f>TEXT(Sales[[#This Row],[Sale_Date]],"MMMM")</f>
        <v>December</v>
      </c>
      <c r="E712" s="1" t="str">
        <f>TEXT(Sales[[#This Row],[Sale_Date]],"DDDD")</f>
        <v>Tuesday</v>
      </c>
      <c r="F712" t="s">
        <v>32</v>
      </c>
      <c r="G712" t="s">
        <v>20</v>
      </c>
      <c r="H712" s="2">
        <v>3889.71</v>
      </c>
      <c r="I712">
        <v>46</v>
      </c>
      <c r="J712" t="s">
        <v>15</v>
      </c>
      <c r="K712" s="2">
        <v>2302.62</v>
      </c>
      <c r="L712" s="2">
        <v>2740.93</v>
      </c>
      <c r="M712" t="s">
        <v>16</v>
      </c>
      <c r="N712">
        <v>0.25</v>
      </c>
      <c r="O712" s="2">
        <f>(Sales[[#This Row],[Unit_Price]]-Sales[[#This Row],[Discount]]*Sales[[#This Row],[Unit_Price]])</f>
        <v>2055.6974999999998</v>
      </c>
      <c r="P712" t="s">
        <v>26</v>
      </c>
      <c r="Q712" t="s">
        <v>18</v>
      </c>
      <c r="R712" t="s">
        <v>36</v>
      </c>
    </row>
    <row r="713" spans="1:18" x14ac:dyDescent="0.35">
      <c r="A713">
        <v>1025</v>
      </c>
      <c r="B713" s="1">
        <v>44985</v>
      </c>
      <c r="C713" s="1" t="str">
        <f>TEXT(Sales[[#This Row],[Sale_Date]],"YYYY")</f>
        <v>2023</v>
      </c>
      <c r="D713" s="1" t="str">
        <f>TEXT(Sales[[#This Row],[Sale_Date]],"MMMM")</f>
        <v>February</v>
      </c>
      <c r="E713" s="1" t="str">
        <f>TEXT(Sales[[#This Row],[Sale_Date]],"DDDD")</f>
        <v>Tuesday</v>
      </c>
      <c r="F713" t="s">
        <v>13</v>
      </c>
      <c r="G713" t="s">
        <v>33</v>
      </c>
      <c r="H713" s="2">
        <v>8236.1299999999992</v>
      </c>
      <c r="I713">
        <v>14</v>
      </c>
      <c r="J713" t="s">
        <v>34</v>
      </c>
      <c r="K713" s="2">
        <v>859.59</v>
      </c>
      <c r="L713" s="2">
        <v>884.51</v>
      </c>
      <c r="M713" t="s">
        <v>29</v>
      </c>
      <c r="N713">
        <v>0.12</v>
      </c>
      <c r="O713" s="2">
        <f>(Sales[[#This Row],[Unit_Price]]-Sales[[#This Row],[Discount]]*Sales[[#This Row],[Unit_Price]])</f>
        <v>778.36879999999996</v>
      </c>
      <c r="P713" t="s">
        <v>26</v>
      </c>
      <c r="Q713" t="s">
        <v>18</v>
      </c>
      <c r="R713" t="s">
        <v>45</v>
      </c>
    </row>
    <row r="714" spans="1:18" x14ac:dyDescent="0.35">
      <c r="A714">
        <v>1056</v>
      </c>
      <c r="B714" s="1">
        <v>44985</v>
      </c>
      <c r="C714" s="1" t="str">
        <f>TEXT(Sales[[#This Row],[Sale_Date]],"YYYY")</f>
        <v>2023</v>
      </c>
      <c r="D714" s="1" t="str">
        <f>TEXT(Sales[[#This Row],[Sale_Date]],"MMMM")</f>
        <v>February</v>
      </c>
      <c r="E714" s="1" t="str">
        <f>TEXT(Sales[[#This Row],[Sale_Date]],"DDDD")</f>
        <v>Tuesday</v>
      </c>
      <c r="F714" t="s">
        <v>37</v>
      </c>
      <c r="G714" t="s">
        <v>14</v>
      </c>
      <c r="H714" s="2">
        <v>6629.16</v>
      </c>
      <c r="I714">
        <v>37</v>
      </c>
      <c r="J714" t="s">
        <v>34</v>
      </c>
      <c r="K714" s="2">
        <v>1555.41</v>
      </c>
      <c r="L714" s="2">
        <v>1609.94</v>
      </c>
      <c r="M714" t="s">
        <v>16</v>
      </c>
      <c r="N714">
        <v>0.16</v>
      </c>
      <c r="O714" s="2">
        <f>(Sales[[#This Row],[Unit_Price]]-Sales[[#This Row],[Discount]]*Sales[[#This Row],[Unit_Price]])</f>
        <v>1352.3496</v>
      </c>
      <c r="P714" t="s">
        <v>30</v>
      </c>
      <c r="Q714" t="s">
        <v>18</v>
      </c>
      <c r="R714" t="s">
        <v>39</v>
      </c>
    </row>
    <row r="715" spans="1:18" x14ac:dyDescent="0.35">
      <c r="A715">
        <v>1033</v>
      </c>
      <c r="B715" s="1">
        <v>45230</v>
      </c>
      <c r="C715" s="1" t="str">
        <f>TEXT(Sales[[#This Row],[Sale_Date]],"YYYY")</f>
        <v>2023</v>
      </c>
      <c r="D715" s="1" t="str">
        <f>TEXT(Sales[[#This Row],[Sale_Date]],"MMMM")</f>
        <v>October</v>
      </c>
      <c r="E715" s="1" t="str">
        <f>TEXT(Sales[[#This Row],[Sale_Date]],"DDDD")</f>
        <v>Tuesday</v>
      </c>
      <c r="F715" t="s">
        <v>37</v>
      </c>
      <c r="G715" t="s">
        <v>33</v>
      </c>
      <c r="H715" s="2">
        <v>7982.79</v>
      </c>
      <c r="I715">
        <v>18</v>
      </c>
      <c r="J715" t="s">
        <v>15</v>
      </c>
      <c r="K715" s="2">
        <v>3124.48</v>
      </c>
      <c r="L715" s="2">
        <v>3553.27</v>
      </c>
      <c r="M715" t="s">
        <v>16</v>
      </c>
      <c r="N715">
        <v>0.12</v>
      </c>
      <c r="O715" s="2">
        <f>(Sales[[#This Row],[Unit_Price]]-Sales[[#This Row],[Discount]]*Sales[[#This Row],[Unit_Price]])</f>
        <v>3126.8775999999998</v>
      </c>
      <c r="P715" t="s">
        <v>17</v>
      </c>
      <c r="Q715" t="s">
        <v>21</v>
      </c>
      <c r="R715" t="s">
        <v>47</v>
      </c>
    </row>
    <row r="716" spans="1:18" x14ac:dyDescent="0.35">
      <c r="A716">
        <v>1038</v>
      </c>
      <c r="B716" s="1">
        <v>45095</v>
      </c>
      <c r="C716" s="1" t="str">
        <f>TEXT(Sales[[#This Row],[Sale_Date]],"YYYY")</f>
        <v>2023</v>
      </c>
      <c r="D716" s="1" t="str">
        <f>TEXT(Sales[[#This Row],[Sale_Date]],"MMMM")</f>
        <v>June</v>
      </c>
      <c r="E716" s="1" t="str">
        <f>TEXT(Sales[[#This Row],[Sale_Date]],"DDDD")</f>
        <v>Sunday</v>
      </c>
      <c r="F716" t="s">
        <v>37</v>
      </c>
      <c r="G716" t="s">
        <v>20</v>
      </c>
      <c r="H716" s="2">
        <v>2792.27</v>
      </c>
      <c r="I716">
        <v>24</v>
      </c>
      <c r="J716" t="s">
        <v>28</v>
      </c>
      <c r="K716" s="2">
        <v>1543.91</v>
      </c>
      <c r="L716" s="2">
        <v>1862.88</v>
      </c>
      <c r="M716" t="s">
        <v>29</v>
      </c>
      <c r="N716">
        <v>0.09</v>
      </c>
      <c r="O716" s="2">
        <f>(Sales[[#This Row],[Unit_Price]]-Sales[[#This Row],[Discount]]*Sales[[#This Row],[Unit_Price]])</f>
        <v>1695.2208000000001</v>
      </c>
      <c r="P716" t="s">
        <v>26</v>
      </c>
      <c r="Q716" t="s">
        <v>18</v>
      </c>
      <c r="R716" t="s">
        <v>40</v>
      </c>
    </row>
    <row r="717" spans="1:18" x14ac:dyDescent="0.35">
      <c r="A717">
        <v>1006</v>
      </c>
      <c r="B717" s="1">
        <v>45195</v>
      </c>
      <c r="C717" s="1" t="str">
        <f>TEXT(Sales[[#This Row],[Sale_Date]],"YYYY")</f>
        <v>2023</v>
      </c>
      <c r="D717" s="1" t="str">
        <f>TEXT(Sales[[#This Row],[Sale_Date]],"MMMM")</f>
        <v>September</v>
      </c>
      <c r="E717" s="1" t="str">
        <f>TEXT(Sales[[#This Row],[Sale_Date]],"DDDD")</f>
        <v>Tuesday</v>
      </c>
      <c r="F717" t="s">
        <v>13</v>
      </c>
      <c r="G717" t="s">
        <v>33</v>
      </c>
      <c r="H717" s="2">
        <v>6954.35</v>
      </c>
      <c r="I717">
        <v>14</v>
      </c>
      <c r="J717" t="s">
        <v>25</v>
      </c>
      <c r="K717" s="2">
        <v>4503.7299999999996</v>
      </c>
      <c r="L717" s="2">
        <v>4879.8799999999901</v>
      </c>
      <c r="M717" t="s">
        <v>29</v>
      </c>
      <c r="N717">
        <v>0.24</v>
      </c>
      <c r="O717" s="2">
        <f>(Sales[[#This Row],[Unit_Price]]-Sales[[#This Row],[Discount]]*Sales[[#This Row],[Unit_Price]])</f>
        <v>3708.7087999999926</v>
      </c>
      <c r="P717" t="s">
        <v>26</v>
      </c>
      <c r="Q717" t="s">
        <v>21</v>
      </c>
      <c r="R717" t="s">
        <v>45</v>
      </c>
    </row>
    <row r="718" spans="1:18" x14ac:dyDescent="0.35">
      <c r="A718">
        <v>1058</v>
      </c>
      <c r="B718" s="1">
        <v>45289</v>
      </c>
      <c r="C718" s="1" t="str">
        <f>TEXT(Sales[[#This Row],[Sale_Date]],"YYYY")</f>
        <v>2023</v>
      </c>
      <c r="D718" s="1" t="str">
        <f>TEXT(Sales[[#This Row],[Sale_Date]],"MMMM")</f>
        <v>December</v>
      </c>
      <c r="E718" s="1" t="str">
        <f>TEXT(Sales[[#This Row],[Sale_Date]],"DDDD")</f>
        <v>Friday</v>
      </c>
      <c r="F718" t="s">
        <v>23</v>
      </c>
      <c r="G718" t="s">
        <v>14</v>
      </c>
      <c r="H718" s="2">
        <v>2714.21</v>
      </c>
      <c r="I718">
        <v>34</v>
      </c>
      <c r="J718" t="s">
        <v>34</v>
      </c>
      <c r="K718" s="2">
        <v>3160.61</v>
      </c>
      <c r="L718" s="2">
        <v>3273.22</v>
      </c>
      <c r="M718" t="s">
        <v>16</v>
      </c>
      <c r="N718">
        <v>0.08</v>
      </c>
      <c r="O718" s="2">
        <f>(Sales[[#This Row],[Unit_Price]]-Sales[[#This Row],[Discount]]*Sales[[#This Row],[Unit_Price]])</f>
        <v>3011.3624</v>
      </c>
      <c r="P718" t="s">
        <v>30</v>
      </c>
      <c r="Q718" t="s">
        <v>21</v>
      </c>
      <c r="R718" t="s">
        <v>44</v>
      </c>
    </row>
    <row r="719" spans="1:18" x14ac:dyDescent="0.35">
      <c r="A719">
        <v>1044</v>
      </c>
      <c r="B719" s="1">
        <v>44971</v>
      </c>
      <c r="C719" s="1" t="str">
        <f>TEXT(Sales[[#This Row],[Sale_Date]],"YYYY")</f>
        <v>2023</v>
      </c>
      <c r="D719" s="1" t="str">
        <f>TEXT(Sales[[#This Row],[Sale_Date]],"MMMM")</f>
        <v>February</v>
      </c>
      <c r="E719" s="1" t="str">
        <f>TEXT(Sales[[#This Row],[Sale_Date]],"DDDD")</f>
        <v>Tuesday</v>
      </c>
      <c r="F719" t="s">
        <v>23</v>
      </c>
      <c r="G719" t="s">
        <v>20</v>
      </c>
      <c r="H719" s="2">
        <v>9396.7800000000007</v>
      </c>
      <c r="I719">
        <v>12</v>
      </c>
      <c r="J719" t="s">
        <v>34</v>
      </c>
      <c r="K719" s="2">
        <v>2221.31</v>
      </c>
      <c r="L719" s="2">
        <v>2494.48</v>
      </c>
      <c r="M719" t="s">
        <v>16</v>
      </c>
      <c r="N719">
        <v>0.22</v>
      </c>
      <c r="O719" s="2">
        <f>(Sales[[#This Row],[Unit_Price]]-Sales[[#This Row],[Discount]]*Sales[[#This Row],[Unit_Price]])</f>
        <v>1945.6943999999999</v>
      </c>
      <c r="P719" t="s">
        <v>26</v>
      </c>
      <c r="Q719" t="s">
        <v>18</v>
      </c>
      <c r="R719" t="s">
        <v>46</v>
      </c>
    </row>
    <row r="720" spans="1:18" x14ac:dyDescent="0.35">
      <c r="A720">
        <v>1045</v>
      </c>
      <c r="B720" s="1">
        <v>45271</v>
      </c>
      <c r="C720" s="1" t="str">
        <f>TEXT(Sales[[#This Row],[Sale_Date]],"YYYY")</f>
        <v>2023</v>
      </c>
      <c r="D720" s="1" t="str">
        <f>TEXT(Sales[[#This Row],[Sale_Date]],"MMMM")</f>
        <v>December</v>
      </c>
      <c r="E720" s="1" t="str">
        <f>TEXT(Sales[[#This Row],[Sale_Date]],"DDDD")</f>
        <v>Monday</v>
      </c>
      <c r="F720" t="s">
        <v>41</v>
      </c>
      <c r="G720" t="s">
        <v>20</v>
      </c>
      <c r="H720" s="2">
        <v>6400.11</v>
      </c>
      <c r="I720">
        <v>22</v>
      </c>
      <c r="J720" t="s">
        <v>28</v>
      </c>
      <c r="K720" s="2">
        <v>241.85</v>
      </c>
      <c r="L720" s="2">
        <v>613.09</v>
      </c>
      <c r="M720" t="s">
        <v>16</v>
      </c>
      <c r="N720">
        <v>0.06</v>
      </c>
      <c r="O720" s="2">
        <f>(Sales[[#This Row],[Unit_Price]]-Sales[[#This Row],[Discount]]*Sales[[#This Row],[Unit_Price]])</f>
        <v>576.30460000000005</v>
      </c>
      <c r="P720" t="s">
        <v>17</v>
      </c>
      <c r="Q720" t="s">
        <v>18</v>
      </c>
      <c r="R720" t="s">
        <v>50</v>
      </c>
    </row>
    <row r="721" spans="1:18" x14ac:dyDescent="0.35">
      <c r="A721">
        <v>1032</v>
      </c>
      <c r="B721" s="1">
        <v>45107</v>
      </c>
      <c r="C721" s="1" t="str">
        <f>TEXT(Sales[[#This Row],[Sale_Date]],"YYYY")</f>
        <v>2023</v>
      </c>
      <c r="D721" s="1" t="str">
        <f>TEXT(Sales[[#This Row],[Sale_Date]],"MMMM")</f>
        <v>June</v>
      </c>
      <c r="E721" s="1" t="str">
        <f>TEXT(Sales[[#This Row],[Sale_Date]],"DDDD")</f>
        <v>Friday</v>
      </c>
      <c r="F721" t="s">
        <v>37</v>
      </c>
      <c r="G721" t="s">
        <v>14</v>
      </c>
      <c r="H721" s="2">
        <v>3312.67</v>
      </c>
      <c r="I721">
        <v>6</v>
      </c>
      <c r="J721" t="s">
        <v>28</v>
      </c>
      <c r="K721" s="2">
        <v>2522.7600000000002</v>
      </c>
      <c r="L721" s="2">
        <v>2840.14</v>
      </c>
      <c r="M721" t="s">
        <v>16</v>
      </c>
      <c r="N721">
        <v>7.0000000000000007E-2</v>
      </c>
      <c r="O721" s="2">
        <f>(Sales[[#This Row],[Unit_Price]]-Sales[[#This Row],[Discount]]*Sales[[#This Row],[Unit_Price]])</f>
        <v>2641.3301999999999</v>
      </c>
      <c r="P721" t="s">
        <v>30</v>
      </c>
      <c r="Q721" t="s">
        <v>21</v>
      </c>
      <c r="R721" t="s">
        <v>39</v>
      </c>
    </row>
    <row r="722" spans="1:18" x14ac:dyDescent="0.35">
      <c r="A722">
        <v>1045</v>
      </c>
      <c r="B722" s="1">
        <v>45096</v>
      </c>
      <c r="C722" s="1" t="str">
        <f>TEXT(Sales[[#This Row],[Sale_Date]],"YYYY")</f>
        <v>2023</v>
      </c>
      <c r="D722" s="1" t="str">
        <f>TEXT(Sales[[#This Row],[Sale_Date]],"MMMM")</f>
        <v>June</v>
      </c>
      <c r="E722" s="1" t="str">
        <f>TEXT(Sales[[#This Row],[Sale_Date]],"DDDD")</f>
        <v>Monday</v>
      </c>
      <c r="F722" t="s">
        <v>23</v>
      </c>
      <c r="G722" t="s">
        <v>14</v>
      </c>
      <c r="H722" s="2">
        <v>2768.17</v>
      </c>
      <c r="I722">
        <v>36</v>
      </c>
      <c r="J722" t="s">
        <v>34</v>
      </c>
      <c r="K722" s="2">
        <v>3835.64</v>
      </c>
      <c r="L722" s="2">
        <v>4076.77</v>
      </c>
      <c r="M722" t="s">
        <v>16</v>
      </c>
      <c r="N722">
        <v>0.1</v>
      </c>
      <c r="O722" s="2">
        <f>(Sales[[#This Row],[Unit_Price]]-Sales[[#This Row],[Discount]]*Sales[[#This Row],[Unit_Price]])</f>
        <v>3669.0929999999998</v>
      </c>
      <c r="P722" t="s">
        <v>30</v>
      </c>
      <c r="Q722" t="s">
        <v>21</v>
      </c>
      <c r="R722" t="s">
        <v>44</v>
      </c>
    </row>
    <row r="723" spans="1:18" x14ac:dyDescent="0.35">
      <c r="A723">
        <v>1061</v>
      </c>
      <c r="B723" s="1">
        <v>45282</v>
      </c>
      <c r="C723" s="1" t="str">
        <f>TEXT(Sales[[#This Row],[Sale_Date]],"YYYY")</f>
        <v>2023</v>
      </c>
      <c r="D723" s="1" t="str">
        <f>TEXT(Sales[[#This Row],[Sale_Date]],"MMMM")</f>
        <v>December</v>
      </c>
      <c r="E723" s="1" t="str">
        <f>TEXT(Sales[[#This Row],[Sale_Date]],"DDDD")</f>
        <v>Friday</v>
      </c>
      <c r="F723" t="s">
        <v>41</v>
      </c>
      <c r="G723" t="s">
        <v>14</v>
      </c>
      <c r="H723" s="2">
        <v>1990.17</v>
      </c>
      <c r="I723">
        <v>45</v>
      </c>
      <c r="J723" t="s">
        <v>28</v>
      </c>
      <c r="K723" s="2">
        <v>1364.51</v>
      </c>
      <c r="L723" s="2">
        <v>1844.8</v>
      </c>
      <c r="M723" t="s">
        <v>16</v>
      </c>
      <c r="N723">
        <v>0.18</v>
      </c>
      <c r="O723" s="2">
        <f>(Sales[[#This Row],[Unit_Price]]-Sales[[#This Row],[Discount]]*Sales[[#This Row],[Unit_Price]])</f>
        <v>1512.7359999999999</v>
      </c>
      <c r="P723" t="s">
        <v>17</v>
      </c>
      <c r="Q723" t="s">
        <v>18</v>
      </c>
      <c r="R723" t="s">
        <v>48</v>
      </c>
    </row>
    <row r="724" spans="1:18" x14ac:dyDescent="0.35">
      <c r="A724">
        <v>1047</v>
      </c>
      <c r="B724" s="1">
        <v>45117</v>
      </c>
      <c r="C724" s="1" t="str">
        <f>TEXT(Sales[[#This Row],[Sale_Date]],"YYYY")</f>
        <v>2023</v>
      </c>
      <c r="D724" s="1" t="str">
        <f>TEXT(Sales[[#This Row],[Sale_Date]],"MMMM")</f>
        <v>July</v>
      </c>
      <c r="E724" s="1" t="str">
        <f>TEXT(Sales[[#This Row],[Sale_Date]],"DDDD")</f>
        <v>Monday</v>
      </c>
      <c r="F724" t="s">
        <v>23</v>
      </c>
      <c r="G724" t="s">
        <v>14</v>
      </c>
      <c r="H724" s="2">
        <v>6976.95</v>
      </c>
      <c r="I724">
        <v>36</v>
      </c>
      <c r="J724" t="s">
        <v>25</v>
      </c>
      <c r="K724" s="2">
        <v>4043.53</v>
      </c>
      <c r="L724" s="2">
        <v>4384.8500000000004</v>
      </c>
      <c r="M724" t="s">
        <v>29</v>
      </c>
      <c r="N724">
        <v>0.14000000000000001</v>
      </c>
      <c r="O724" s="2">
        <f>(Sales[[#This Row],[Unit_Price]]-Sales[[#This Row],[Discount]]*Sales[[#This Row],[Unit_Price]])</f>
        <v>3770.9710000000005</v>
      </c>
      <c r="P724" t="s">
        <v>17</v>
      </c>
      <c r="Q724" t="s">
        <v>18</v>
      </c>
      <c r="R724" t="s">
        <v>44</v>
      </c>
    </row>
    <row r="725" spans="1:18" x14ac:dyDescent="0.35">
      <c r="A725">
        <v>1021</v>
      </c>
      <c r="B725" s="1">
        <v>45081</v>
      </c>
      <c r="C725" s="1" t="str">
        <f>TEXT(Sales[[#This Row],[Sale_Date]],"YYYY")</f>
        <v>2023</v>
      </c>
      <c r="D725" s="1" t="str">
        <f>TEXT(Sales[[#This Row],[Sale_Date]],"MMMM")</f>
        <v>June</v>
      </c>
      <c r="E725" s="1" t="str">
        <f>TEXT(Sales[[#This Row],[Sale_Date]],"DDDD")</f>
        <v>Sunday</v>
      </c>
      <c r="F725" t="s">
        <v>37</v>
      </c>
      <c r="G725" t="s">
        <v>14</v>
      </c>
      <c r="H725" s="2">
        <v>2265.2800000000002</v>
      </c>
      <c r="I725">
        <v>22</v>
      </c>
      <c r="J725" t="s">
        <v>34</v>
      </c>
      <c r="K725" s="2">
        <v>1296.44</v>
      </c>
      <c r="L725" s="2">
        <v>1751.24</v>
      </c>
      <c r="M725" t="s">
        <v>29</v>
      </c>
      <c r="N725">
        <v>0.22</v>
      </c>
      <c r="O725" s="2">
        <f>(Sales[[#This Row],[Unit_Price]]-Sales[[#This Row],[Discount]]*Sales[[#This Row],[Unit_Price]])</f>
        <v>1365.9672</v>
      </c>
      <c r="P725" t="s">
        <v>17</v>
      </c>
      <c r="Q725" t="s">
        <v>18</v>
      </c>
      <c r="R725" t="s">
        <v>39</v>
      </c>
    </row>
    <row r="726" spans="1:18" x14ac:dyDescent="0.35">
      <c r="A726">
        <v>1080</v>
      </c>
      <c r="B726" s="1">
        <v>45114</v>
      </c>
      <c r="C726" s="1" t="str">
        <f>TEXT(Sales[[#This Row],[Sale_Date]],"YYYY")</f>
        <v>2023</v>
      </c>
      <c r="D726" s="1" t="str">
        <f>TEXT(Sales[[#This Row],[Sale_Date]],"MMMM")</f>
        <v>July</v>
      </c>
      <c r="E726" s="1" t="str">
        <f>TEXT(Sales[[#This Row],[Sale_Date]],"DDDD")</f>
        <v>Friday</v>
      </c>
      <c r="F726" t="s">
        <v>32</v>
      </c>
      <c r="G726" t="s">
        <v>20</v>
      </c>
      <c r="H726" s="2">
        <v>5993.5</v>
      </c>
      <c r="I726">
        <v>14</v>
      </c>
      <c r="J726" t="s">
        <v>25</v>
      </c>
      <c r="K726" s="2">
        <v>4127.54</v>
      </c>
      <c r="L726" s="2">
        <v>4495.13</v>
      </c>
      <c r="M726" t="s">
        <v>29</v>
      </c>
      <c r="N726">
        <v>0.06</v>
      </c>
      <c r="O726" s="2">
        <f>(Sales[[#This Row],[Unit_Price]]-Sales[[#This Row],[Discount]]*Sales[[#This Row],[Unit_Price]])</f>
        <v>4225.4222</v>
      </c>
      <c r="P726" t="s">
        <v>26</v>
      </c>
      <c r="Q726" t="s">
        <v>21</v>
      </c>
      <c r="R726" t="s">
        <v>36</v>
      </c>
    </row>
    <row r="727" spans="1:18" x14ac:dyDescent="0.35">
      <c r="A727">
        <v>1085</v>
      </c>
      <c r="B727" s="1">
        <v>44933</v>
      </c>
      <c r="C727" s="1" t="str">
        <f>TEXT(Sales[[#This Row],[Sale_Date]],"YYYY")</f>
        <v>2023</v>
      </c>
      <c r="D727" s="1" t="str">
        <f>TEXT(Sales[[#This Row],[Sale_Date]],"MMMM")</f>
        <v>January</v>
      </c>
      <c r="E727" s="1" t="str">
        <f>TEXT(Sales[[#This Row],[Sale_Date]],"DDDD")</f>
        <v>Saturday</v>
      </c>
      <c r="F727" t="s">
        <v>37</v>
      </c>
      <c r="G727" t="s">
        <v>20</v>
      </c>
      <c r="H727" s="2">
        <v>2719.89</v>
      </c>
      <c r="I727">
        <v>16</v>
      </c>
      <c r="J727" t="s">
        <v>25</v>
      </c>
      <c r="K727" s="2">
        <v>472.08</v>
      </c>
      <c r="L727" s="2">
        <v>842.46</v>
      </c>
      <c r="M727" t="s">
        <v>29</v>
      </c>
      <c r="N727">
        <v>0</v>
      </c>
      <c r="O727" s="2">
        <f>(Sales[[#This Row],[Unit_Price]]-Sales[[#This Row],[Discount]]*Sales[[#This Row],[Unit_Price]])</f>
        <v>842.46</v>
      </c>
      <c r="P727" t="s">
        <v>17</v>
      </c>
      <c r="Q727" t="s">
        <v>21</v>
      </c>
      <c r="R727" t="s">
        <v>40</v>
      </c>
    </row>
    <row r="728" spans="1:18" x14ac:dyDescent="0.35">
      <c r="A728">
        <v>1075</v>
      </c>
      <c r="B728" s="1">
        <v>45059</v>
      </c>
      <c r="C728" s="1" t="str">
        <f>TEXT(Sales[[#This Row],[Sale_Date]],"YYYY")</f>
        <v>2023</v>
      </c>
      <c r="D728" s="1" t="str">
        <f>TEXT(Sales[[#This Row],[Sale_Date]],"MMMM")</f>
        <v>May</v>
      </c>
      <c r="E728" s="1" t="str">
        <f>TEXT(Sales[[#This Row],[Sale_Date]],"DDDD")</f>
        <v>Saturday</v>
      </c>
      <c r="F728" t="s">
        <v>13</v>
      </c>
      <c r="G728" t="s">
        <v>33</v>
      </c>
      <c r="H728" s="2">
        <v>6653.49</v>
      </c>
      <c r="I728">
        <v>36</v>
      </c>
      <c r="J728" t="s">
        <v>28</v>
      </c>
      <c r="K728" s="2">
        <v>4337.6099999999997</v>
      </c>
      <c r="L728" s="2">
        <v>4386.82</v>
      </c>
      <c r="M728" t="s">
        <v>16</v>
      </c>
      <c r="N728">
        <v>0.23</v>
      </c>
      <c r="O728" s="2">
        <f>(Sales[[#This Row],[Unit_Price]]-Sales[[#This Row],[Discount]]*Sales[[#This Row],[Unit_Price]])</f>
        <v>3377.8513999999996</v>
      </c>
      <c r="P728" t="s">
        <v>30</v>
      </c>
      <c r="Q728" t="s">
        <v>18</v>
      </c>
      <c r="R728" t="s">
        <v>45</v>
      </c>
    </row>
    <row r="729" spans="1:18" x14ac:dyDescent="0.35">
      <c r="A729">
        <v>1036</v>
      </c>
      <c r="B729" s="1">
        <v>45161</v>
      </c>
      <c r="C729" s="1" t="str">
        <f>TEXT(Sales[[#This Row],[Sale_Date]],"YYYY")</f>
        <v>2023</v>
      </c>
      <c r="D729" s="1" t="str">
        <f>TEXT(Sales[[#This Row],[Sale_Date]],"MMMM")</f>
        <v>August</v>
      </c>
      <c r="E729" s="1" t="str">
        <f>TEXT(Sales[[#This Row],[Sale_Date]],"DDDD")</f>
        <v>Wednesday</v>
      </c>
      <c r="F729" t="s">
        <v>23</v>
      </c>
      <c r="G729" t="s">
        <v>33</v>
      </c>
      <c r="H729" s="2">
        <v>8167.9</v>
      </c>
      <c r="I729">
        <v>25</v>
      </c>
      <c r="J729" t="s">
        <v>25</v>
      </c>
      <c r="K729" s="2">
        <v>2520.9699999999998</v>
      </c>
      <c r="L729" s="2">
        <v>2707.1099999999901</v>
      </c>
      <c r="M729" t="s">
        <v>29</v>
      </c>
      <c r="N729">
        <v>0.25</v>
      </c>
      <c r="O729" s="2">
        <f>(Sales[[#This Row],[Unit_Price]]-Sales[[#This Row],[Discount]]*Sales[[#This Row],[Unit_Price]])</f>
        <v>2030.3324999999927</v>
      </c>
      <c r="P729" t="s">
        <v>17</v>
      </c>
      <c r="Q729" t="s">
        <v>21</v>
      </c>
      <c r="R729" t="s">
        <v>49</v>
      </c>
    </row>
    <row r="730" spans="1:18" x14ac:dyDescent="0.35">
      <c r="A730">
        <v>1099</v>
      </c>
      <c r="B730" s="1">
        <v>44971</v>
      </c>
      <c r="C730" s="1" t="str">
        <f>TEXT(Sales[[#This Row],[Sale_Date]],"YYYY")</f>
        <v>2023</v>
      </c>
      <c r="D730" s="1" t="str">
        <f>TEXT(Sales[[#This Row],[Sale_Date]],"MMMM")</f>
        <v>February</v>
      </c>
      <c r="E730" s="1" t="str">
        <f>TEXT(Sales[[#This Row],[Sale_Date]],"DDDD")</f>
        <v>Tuesday</v>
      </c>
      <c r="F730" t="s">
        <v>23</v>
      </c>
      <c r="G730" t="s">
        <v>24</v>
      </c>
      <c r="H730" s="2">
        <v>7802.45</v>
      </c>
      <c r="I730">
        <v>32</v>
      </c>
      <c r="J730" t="s">
        <v>28</v>
      </c>
      <c r="K730" s="2">
        <v>1517.86</v>
      </c>
      <c r="L730" s="2">
        <v>1948.46</v>
      </c>
      <c r="M730" t="s">
        <v>29</v>
      </c>
      <c r="N730">
        <v>0.02</v>
      </c>
      <c r="O730" s="2">
        <f>(Sales[[#This Row],[Unit_Price]]-Sales[[#This Row],[Discount]]*Sales[[#This Row],[Unit_Price]])</f>
        <v>1909.4908</v>
      </c>
      <c r="P730" t="s">
        <v>30</v>
      </c>
      <c r="Q730" t="s">
        <v>18</v>
      </c>
      <c r="R730" t="s">
        <v>27</v>
      </c>
    </row>
    <row r="731" spans="1:18" x14ac:dyDescent="0.35">
      <c r="A731">
        <v>1019</v>
      </c>
      <c r="B731" s="1">
        <v>45240</v>
      </c>
      <c r="C731" s="1" t="str">
        <f>TEXT(Sales[[#This Row],[Sale_Date]],"YYYY")</f>
        <v>2023</v>
      </c>
      <c r="D731" s="1" t="str">
        <f>TEXT(Sales[[#This Row],[Sale_Date]],"MMMM")</f>
        <v>November</v>
      </c>
      <c r="E731" s="1" t="str">
        <f>TEXT(Sales[[#This Row],[Sale_Date]],"DDDD")</f>
        <v>Friday</v>
      </c>
      <c r="F731" t="s">
        <v>13</v>
      </c>
      <c r="G731" t="s">
        <v>33</v>
      </c>
      <c r="H731" s="2">
        <v>7632.43</v>
      </c>
      <c r="I731">
        <v>33</v>
      </c>
      <c r="J731" t="s">
        <v>15</v>
      </c>
      <c r="K731" s="2">
        <v>1362.31</v>
      </c>
      <c r="L731" s="2">
        <v>1486.29</v>
      </c>
      <c r="M731" t="s">
        <v>16</v>
      </c>
      <c r="N731">
        <v>0.18</v>
      </c>
      <c r="O731" s="2">
        <f>(Sales[[#This Row],[Unit_Price]]-Sales[[#This Row],[Discount]]*Sales[[#This Row],[Unit_Price]])</f>
        <v>1218.7577999999999</v>
      </c>
      <c r="P731" t="s">
        <v>30</v>
      </c>
      <c r="Q731" t="s">
        <v>21</v>
      </c>
      <c r="R731" t="s">
        <v>45</v>
      </c>
    </row>
    <row r="732" spans="1:18" x14ac:dyDescent="0.35">
      <c r="A732">
        <v>1020</v>
      </c>
      <c r="B732" s="1">
        <v>45175</v>
      </c>
      <c r="C732" s="1" t="str">
        <f>TEXT(Sales[[#This Row],[Sale_Date]],"YYYY")</f>
        <v>2023</v>
      </c>
      <c r="D732" s="1" t="str">
        <f>TEXT(Sales[[#This Row],[Sale_Date]],"MMMM")</f>
        <v>September</v>
      </c>
      <c r="E732" s="1" t="str">
        <f>TEXT(Sales[[#This Row],[Sale_Date]],"DDDD")</f>
        <v>Wednesday</v>
      </c>
      <c r="F732" t="s">
        <v>13</v>
      </c>
      <c r="G732" t="s">
        <v>33</v>
      </c>
      <c r="H732" s="2">
        <v>1958.45</v>
      </c>
      <c r="I732">
        <v>45</v>
      </c>
      <c r="J732" t="s">
        <v>28</v>
      </c>
      <c r="K732" s="2">
        <v>2188.4499999999998</v>
      </c>
      <c r="L732" s="2">
        <v>2255.0499999999902</v>
      </c>
      <c r="M732" t="s">
        <v>29</v>
      </c>
      <c r="N732">
        <v>0.11</v>
      </c>
      <c r="O732" s="2">
        <f>(Sales[[#This Row],[Unit_Price]]-Sales[[#This Row],[Discount]]*Sales[[#This Row],[Unit_Price]])</f>
        <v>2006.9944999999911</v>
      </c>
      <c r="P732" t="s">
        <v>26</v>
      </c>
      <c r="Q732" t="s">
        <v>21</v>
      </c>
      <c r="R732" t="s">
        <v>45</v>
      </c>
    </row>
    <row r="733" spans="1:18" x14ac:dyDescent="0.35">
      <c r="A733">
        <v>1057</v>
      </c>
      <c r="B733" s="1">
        <v>44957</v>
      </c>
      <c r="C733" s="1" t="str">
        <f>TEXT(Sales[[#This Row],[Sale_Date]],"YYYY")</f>
        <v>2023</v>
      </c>
      <c r="D733" s="1" t="str">
        <f>TEXT(Sales[[#This Row],[Sale_Date]],"MMMM")</f>
        <v>January</v>
      </c>
      <c r="E733" s="1" t="str">
        <f>TEXT(Sales[[#This Row],[Sale_Date]],"DDDD")</f>
        <v>Tuesday</v>
      </c>
      <c r="F733" t="s">
        <v>32</v>
      </c>
      <c r="G733" t="s">
        <v>14</v>
      </c>
      <c r="H733" s="2">
        <v>975.01</v>
      </c>
      <c r="I733">
        <v>36</v>
      </c>
      <c r="J733" t="s">
        <v>25</v>
      </c>
      <c r="K733" s="2">
        <v>4995.3</v>
      </c>
      <c r="L733" s="2">
        <v>5165.09</v>
      </c>
      <c r="M733" t="s">
        <v>16</v>
      </c>
      <c r="N733">
        <v>0.24</v>
      </c>
      <c r="O733" s="2">
        <f>(Sales[[#This Row],[Unit_Price]]-Sales[[#This Row],[Discount]]*Sales[[#This Row],[Unit_Price]])</f>
        <v>3925.4684000000002</v>
      </c>
      <c r="P733" t="s">
        <v>17</v>
      </c>
      <c r="Q733" t="s">
        <v>18</v>
      </c>
      <c r="R733" t="s">
        <v>52</v>
      </c>
    </row>
    <row r="734" spans="1:18" x14ac:dyDescent="0.35">
      <c r="A734">
        <v>1018</v>
      </c>
      <c r="B734" s="1">
        <v>44949</v>
      </c>
      <c r="C734" s="1" t="str">
        <f>TEXT(Sales[[#This Row],[Sale_Date]],"YYYY")</f>
        <v>2023</v>
      </c>
      <c r="D734" s="1" t="str">
        <f>TEXT(Sales[[#This Row],[Sale_Date]],"MMMM")</f>
        <v>January</v>
      </c>
      <c r="E734" s="1" t="str">
        <f>TEXT(Sales[[#This Row],[Sale_Date]],"DDDD")</f>
        <v>Monday</v>
      </c>
      <c r="F734" t="s">
        <v>23</v>
      </c>
      <c r="G734" t="s">
        <v>14</v>
      </c>
      <c r="H734" s="2">
        <v>7019.59</v>
      </c>
      <c r="I734">
        <v>20</v>
      </c>
      <c r="J734" t="s">
        <v>15</v>
      </c>
      <c r="K734" s="2">
        <v>1140.6199999999999</v>
      </c>
      <c r="L734" s="2">
        <v>1258.6299999999901</v>
      </c>
      <c r="M734" t="s">
        <v>16</v>
      </c>
      <c r="N734">
        <v>0.26</v>
      </c>
      <c r="O734" s="2">
        <f>(Sales[[#This Row],[Unit_Price]]-Sales[[#This Row],[Discount]]*Sales[[#This Row],[Unit_Price]])</f>
        <v>931.38619999999264</v>
      </c>
      <c r="P734" t="s">
        <v>26</v>
      </c>
      <c r="Q734" t="s">
        <v>18</v>
      </c>
      <c r="R734" t="s">
        <v>44</v>
      </c>
    </row>
    <row r="735" spans="1:18" x14ac:dyDescent="0.35">
      <c r="A735">
        <v>1047</v>
      </c>
      <c r="B735" s="1">
        <v>45086</v>
      </c>
      <c r="C735" s="1" t="str">
        <f>TEXT(Sales[[#This Row],[Sale_Date]],"YYYY")</f>
        <v>2023</v>
      </c>
      <c r="D735" s="1" t="str">
        <f>TEXT(Sales[[#This Row],[Sale_Date]],"MMMM")</f>
        <v>June</v>
      </c>
      <c r="E735" s="1" t="str">
        <f>TEXT(Sales[[#This Row],[Sale_Date]],"DDDD")</f>
        <v>Friday</v>
      </c>
      <c r="F735" t="s">
        <v>23</v>
      </c>
      <c r="G735" t="s">
        <v>33</v>
      </c>
      <c r="H735" s="2">
        <v>3746.64</v>
      </c>
      <c r="I735">
        <v>18</v>
      </c>
      <c r="J735" t="s">
        <v>28</v>
      </c>
      <c r="K735" s="2">
        <v>560.91999999999996</v>
      </c>
      <c r="L735" s="2">
        <v>1024.31</v>
      </c>
      <c r="M735" t="s">
        <v>16</v>
      </c>
      <c r="N735">
        <v>0.26</v>
      </c>
      <c r="O735" s="2">
        <f>(Sales[[#This Row],[Unit_Price]]-Sales[[#This Row],[Discount]]*Sales[[#This Row],[Unit_Price]])</f>
        <v>757.98939999999993</v>
      </c>
      <c r="P735" t="s">
        <v>17</v>
      </c>
      <c r="Q735" t="s">
        <v>18</v>
      </c>
      <c r="R735" t="s">
        <v>49</v>
      </c>
    </row>
    <row r="736" spans="1:18" x14ac:dyDescent="0.35">
      <c r="A736">
        <v>1049</v>
      </c>
      <c r="B736" s="1">
        <v>45289</v>
      </c>
      <c r="C736" s="1" t="str">
        <f>TEXT(Sales[[#This Row],[Sale_Date]],"YYYY")</f>
        <v>2023</v>
      </c>
      <c r="D736" s="1" t="str">
        <f>TEXT(Sales[[#This Row],[Sale_Date]],"MMMM")</f>
        <v>December</v>
      </c>
      <c r="E736" s="1" t="str">
        <f>TEXT(Sales[[#This Row],[Sale_Date]],"DDDD")</f>
        <v>Friday</v>
      </c>
      <c r="F736" t="s">
        <v>32</v>
      </c>
      <c r="G736" t="s">
        <v>24</v>
      </c>
      <c r="H736" s="2">
        <v>4380.2299999999996</v>
      </c>
      <c r="I736">
        <v>38</v>
      </c>
      <c r="J736" t="s">
        <v>25</v>
      </c>
      <c r="K736" s="2">
        <v>2945.92</v>
      </c>
      <c r="L736" s="2">
        <v>3381.22</v>
      </c>
      <c r="M736" t="s">
        <v>16</v>
      </c>
      <c r="N736">
        <v>0.23</v>
      </c>
      <c r="O736" s="2">
        <f>(Sales[[#This Row],[Unit_Price]]-Sales[[#This Row],[Discount]]*Sales[[#This Row],[Unit_Price]])</f>
        <v>2603.5393999999997</v>
      </c>
      <c r="P736" t="s">
        <v>17</v>
      </c>
      <c r="Q736" t="s">
        <v>21</v>
      </c>
      <c r="R736" t="s">
        <v>43</v>
      </c>
    </row>
    <row r="737" spans="1:18" x14ac:dyDescent="0.35">
      <c r="A737">
        <v>1014</v>
      </c>
      <c r="B737" s="1">
        <v>45084</v>
      </c>
      <c r="C737" s="1" t="str">
        <f>TEXT(Sales[[#This Row],[Sale_Date]],"YYYY")</f>
        <v>2023</v>
      </c>
      <c r="D737" s="1" t="str">
        <f>TEXT(Sales[[#This Row],[Sale_Date]],"MMMM")</f>
        <v>June</v>
      </c>
      <c r="E737" s="1" t="str">
        <f>TEXT(Sales[[#This Row],[Sale_Date]],"DDDD")</f>
        <v>Wednesday</v>
      </c>
      <c r="F737" t="s">
        <v>41</v>
      </c>
      <c r="G737" t="s">
        <v>14</v>
      </c>
      <c r="H737" s="2">
        <v>408.38</v>
      </c>
      <c r="I737">
        <v>3</v>
      </c>
      <c r="J737" t="s">
        <v>34</v>
      </c>
      <c r="K737" s="2">
        <v>2468.29</v>
      </c>
      <c r="L737" s="2">
        <v>2723.13</v>
      </c>
      <c r="M737" t="s">
        <v>16</v>
      </c>
      <c r="N737">
        <v>0.08</v>
      </c>
      <c r="O737" s="2">
        <f>(Sales[[#This Row],[Unit_Price]]-Sales[[#This Row],[Discount]]*Sales[[#This Row],[Unit_Price]])</f>
        <v>2505.2796000000003</v>
      </c>
      <c r="P737" t="s">
        <v>17</v>
      </c>
      <c r="Q737" t="s">
        <v>21</v>
      </c>
      <c r="R737" t="s">
        <v>48</v>
      </c>
    </row>
    <row r="738" spans="1:18" x14ac:dyDescent="0.35">
      <c r="A738">
        <v>1015</v>
      </c>
      <c r="B738" s="1">
        <v>44965</v>
      </c>
      <c r="C738" s="1" t="str">
        <f>TEXT(Sales[[#This Row],[Sale_Date]],"YYYY")</f>
        <v>2023</v>
      </c>
      <c r="D738" s="1" t="str">
        <f>TEXT(Sales[[#This Row],[Sale_Date]],"MMMM")</f>
        <v>February</v>
      </c>
      <c r="E738" s="1" t="str">
        <f>TEXT(Sales[[#This Row],[Sale_Date]],"DDDD")</f>
        <v>Wednesday</v>
      </c>
      <c r="F738" t="s">
        <v>32</v>
      </c>
      <c r="G738" t="s">
        <v>33</v>
      </c>
      <c r="H738" s="2">
        <v>2669.81</v>
      </c>
      <c r="I738">
        <v>23</v>
      </c>
      <c r="J738" t="s">
        <v>34</v>
      </c>
      <c r="K738" s="2">
        <v>2644.77</v>
      </c>
      <c r="L738" s="2">
        <v>2684.83</v>
      </c>
      <c r="M738" t="s">
        <v>29</v>
      </c>
      <c r="N738">
        <v>0.24</v>
      </c>
      <c r="O738" s="2">
        <f>(Sales[[#This Row],[Unit_Price]]-Sales[[#This Row],[Discount]]*Sales[[#This Row],[Unit_Price]])</f>
        <v>2040.4708000000001</v>
      </c>
      <c r="P738" t="s">
        <v>17</v>
      </c>
      <c r="Q738" t="s">
        <v>18</v>
      </c>
      <c r="R738" t="s">
        <v>35</v>
      </c>
    </row>
    <row r="739" spans="1:18" x14ac:dyDescent="0.35">
      <c r="A739">
        <v>1031</v>
      </c>
      <c r="B739" s="1">
        <v>45008</v>
      </c>
      <c r="C739" s="1" t="str">
        <f>TEXT(Sales[[#This Row],[Sale_Date]],"YYYY")</f>
        <v>2023</v>
      </c>
      <c r="D739" s="1" t="str">
        <f>TEXT(Sales[[#This Row],[Sale_Date]],"MMMM")</f>
        <v>March</v>
      </c>
      <c r="E739" s="1" t="str">
        <f>TEXT(Sales[[#This Row],[Sale_Date]],"DDDD")</f>
        <v>Thursday</v>
      </c>
      <c r="F739" t="s">
        <v>37</v>
      </c>
      <c r="G739" t="s">
        <v>33</v>
      </c>
      <c r="H739" s="2">
        <v>433.4</v>
      </c>
      <c r="I739">
        <v>32</v>
      </c>
      <c r="J739" t="s">
        <v>28</v>
      </c>
      <c r="K739" s="2">
        <v>3351.33</v>
      </c>
      <c r="L739" s="2">
        <v>3711.47</v>
      </c>
      <c r="M739" t="s">
        <v>29</v>
      </c>
      <c r="N739">
        <v>0.16</v>
      </c>
      <c r="O739" s="2">
        <f>(Sales[[#This Row],[Unit_Price]]-Sales[[#This Row],[Discount]]*Sales[[#This Row],[Unit_Price]])</f>
        <v>3117.6347999999998</v>
      </c>
      <c r="P739" t="s">
        <v>17</v>
      </c>
      <c r="Q739" t="s">
        <v>21</v>
      </c>
      <c r="R739" t="s">
        <v>47</v>
      </c>
    </row>
    <row r="740" spans="1:18" x14ac:dyDescent="0.35">
      <c r="A740">
        <v>1001</v>
      </c>
      <c r="B740" s="1">
        <v>45282</v>
      </c>
      <c r="C740" s="1" t="str">
        <f>TEXT(Sales[[#This Row],[Sale_Date]],"YYYY")</f>
        <v>2023</v>
      </c>
      <c r="D740" s="1" t="str">
        <f>TEXT(Sales[[#This Row],[Sale_Date]],"MMMM")</f>
        <v>December</v>
      </c>
      <c r="E740" s="1" t="str">
        <f>TEXT(Sales[[#This Row],[Sale_Date]],"DDDD")</f>
        <v>Friday</v>
      </c>
      <c r="F740" t="s">
        <v>23</v>
      </c>
      <c r="G740" t="s">
        <v>20</v>
      </c>
      <c r="H740" s="2">
        <v>8803.94</v>
      </c>
      <c r="I740">
        <v>45</v>
      </c>
      <c r="J740" t="s">
        <v>28</v>
      </c>
      <c r="K740" s="2">
        <v>1372.36</v>
      </c>
      <c r="L740" s="2">
        <v>1687.83</v>
      </c>
      <c r="M740" t="s">
        <v>29</v>
      </c>
      <c r="N740">
        <v>0.02</v>
      </c>
      <c r="O740" s="2">
        <f>(Sales[[#This Row],[Unit_Price]]-Sales[[#This Row],[Discount]]*Sales[[#This Row],[Unit_Price]])</f>
        <v>1654.0734</v>
      </c>
      <c r="P740" t="s">
        <v>30</v>
      </c>
      <c r="Q740" t="s">
        <v>18</v>
      </c>
      <c r="R740" t="s">
        <v>46</v>
      </c>
    </row>
    <row r="741" spans="1:18" x14ac:dyDescent="0.35">
      <c r="A741">
        <v>1054</v>
      </c>
      <c r="B741" s="1">
        <v>45184</v>
      </c>
      <c r="C741" s="1" t="str">
        <f>TEXT(Sales[[#This Row],[Sale_Date]],"YYYY")</f>
        <v>2023</v>
      </c>
      <c r="D741" s="1" t="str">
        <f>TEXT(Sales[[#This Row],[Sale_Date]],"MMMM")</f>
        <v>September</v>
      </c>
      <c r="E741" s="1" t="str">
        <f>TEXT(Sales[[#This Row],[Sale_Date]],"DDDD")</f>
        <v>Friday</v>
      </c>
      <c r="F741" t="s">
        <v>13</v>
      </c>
      <c r="G741" t="s">
        <v>24</v>
      </c>
      <c r="H741" s="2">
        <v>2509.63</v>
      </c>
      <c r="I741">
        <v>16</v>
      </c>
      <c r="J741" t="s">
        <v>34</v>
      </c>
      <c r="K741" s="2">
        <v>4557.79</v>
      </c>
      <c r="L741" s="2">
        <v>5043.3599999999997</v>
      </c>
      <c r="M741" t="s">
        <v>16</v>
      </c>
      <c r="N741">
        <v>0.14000000000000001</v>
      </c>
      <c r="O741" s="2">
        <f>(Sales[[#This Row],[Unit_Price]]-Sales[[#This Row],[Discount]]*Sales[[#This Row],[Unit_Price]])</f>
        <v>4337.2896000000001</v>
      </c>
      <c r="P741" t="s">
        <v>30</v>
      </c>
      <c r="Q741" t="s">
        <v>21</v>
      </c>
      <c r="R741" t="s">
        <v>31</v>
      </c>
    </row>
    <row r="742" spans="1:18" x14ac:dyDescent="0.35">
      <c r="A742">
        <v>1003</v>
      </c>
      <c r="B742" s="1">
        <v>45132</v>
      </c>
      <c r="C742" s="1" t="str">
        <f>TEXT(Sales[[#This Row],[Sale_Date]],"YYYY")</f>
        <v>2023</v>
      </c>
      <c r="D742" s="1" t="str">
        <f>TEXT(Sales[[#This Row],[Sale_Date]],"MMMM")</f>
        <v>July</v>
      </c>
      <c r="E742" s="1" t="str">
        <f>TEXT(Sales[[#This Row],[Sale_Date]],"DDDD")</f>
        <v>Tuesday</v>
      </c>
      <c r="F742" t="s">
        <v>37</v>
      </c>
      <c r="G742" t="s">
        <v>20</v>
      </c>
      <c r="H742" s="2">
        <v>5617.64</v>
      </c>
      <c r="I742">
        <v>5</v>
      </c>
      <c r="J742" t="s">
        <v>25</v>
      </c>
      <c r="K742" s="2">
        <v>2206.58</v>
      </c>
      <c r="L742" s="2">
        <v>2490.4699999999998</v>
      </c>
      <c r="M742" t="s">
        <v>29</v>
      </c>
      <c r="N742">
        <v>0.28000000000000003</v>
      </c>
      <c r="O742" s="2">
        <f>(Sales[[#This Row],[Unit_Price]]-Sales[[#This Row],[Discount]]*Sales[[#This Row],[Unit_Price]])</f>
        <v>1793.1383999999998</v>
      </c>
      <c r="P742" t="s">
        <v>17</v>
      </c>
      <c r="Q742" t="s">
        <v>18</v>
      </c>
      <c r="R742" t="s">
        <v>40</v>
      </c>
    </row>
    <row r="743" spans="1:18" x14ac:dyDescent="0.35">
      <c r="A743">
        <v>1016</v>
      </c>
      <c r="B743" s="1">
        <v>45003</v>
      </c>
      <c r="C743" s="1" t="str">
        <f>TEXT(Sales[[#This Row],[Sale_Date]],"YYYY")</f>
        <v>2023</v>
      </c>
      <c r="D743" s="1" t="str">
        <f>TEXT(Sales[[#This Row],[Sale_Date]],"MMMM")</f>
        <v>March</v>
      </c>
      <c r="E743" s="1" t="str">
        <f>TEXT(Sales[[#This Row],[Sale_Date]],"DDDD")</f>
        <v>Saturday</v>
      </c>
      <c r="F743" t="s">
        <v>23</v>
      </c>
      <c r="G743" t="s">
        <v>24</v>
      </c>
      <c r="H743" s="2">
        <v>485.9</v>
      </c>
      <c r="I743">
        <v>4</v>
      </c>
      <c r="J743" t="s">
        <v>25</v>
      </c>
      <c r="K743" s="2">
        <v>688.98</v>
      </c>
      <c r="L743" s="2">
        <v>863.81</v>
      </c>
      <c r="M743" t="s">
        <v>29</v>
      </c>
      <c r="N743">
        <v>0.27</v>
      </c>
      <c r="O743" s="2">
        <f>(Sales[[#This Row],[Unit_Price]]-Sales[[#This Row],[Discount]]*Sales[[#This Row],[Unit_Price]])</f>
        <v>630.58129999999994</v>
      </c>
      <c r="P743" t="s">
        <v>30</v>
      </c>
      <c r="Q743" t="s">
        <v>21</v>
      </c>
      <c r="R743" t="s">
        <v>27</v>
      </c>
    </row>
    <row r="744" spans="1:18" x14ac:dyDescent="0.35">
      <c r="A744">
        <v>1087</v>
      </c>
      <c r="B744" s="1">
        <v>44938</v>
      </c>
      <c r="C744" s="1" t="str">
        <f>TEXT(Sales[[#This Row],[Sale_Date]],"YYYY")</f>
        <v>2023</v>
      </c>
      <c r="D744" s="1" t="str">
        <f>TEXT(Sales[[#This Row],[Sale_Date]],"MMMM")</f>
        <v>January</v>
      </c>
      <c r="E744" s="1" t="str">
        <f>TEXT(Sales[[#This Row],[Sale_Date]],"DDDD")</f>
        <v>Thursday</v>
      </c>
      <c r="F744" t="s">
        <v>32</v>
      </c>
      <c r="G744" t="s">
        <v>14</v>
      </c>
      <c r="H744" s="2">
        <v>6701.79</v>
      </c>
      <c r="I744">
        <v>21</v>
      </c>
      <c r="J744" t="s">
        <v>25</v>
      </c>
      <c r="K744" s="2">
        <v>3724.38</v>
      </c>
      <c r="L744" s="2">
        <v>3988.7</v>
      </c>
      <c r="M744" t="s">
        <v>29</v>
      </c>
      <c r="N744">
        <v>0.03</v>
      </c>
      <c r="O744" s="2">
        <f>(Sales[[#This Row],[Unit_Price]]-Sales[[#This Row],[Discount]]*Sales[[#This Row],[Unit_Price]])</f>
        <v>3869.0389999999998</v>
      </c>
      <c r="P744" t="s">
        <v>26</v>
      </c>
      <c r="Q744" t="s">
        <v>21</v>
      </c>
      <c r="R744" t="s">
        <v>52</v>
      </c>
    </row>
    <row r="745" spans="1:18" x14ac:dyDescent="0.35">
      <c r="A745">
        <v>1057</v>
      </c>
      <c r="B745" s="1">
        <v>45221</v>
      </c>
      <c r="C745" s="1" t="str">
        <f>TEXT(Sales[[#This Row],[Sale_Date]],"YYYY")</f>
        <v>2023</v>
      </c>
      <c r="D745" s="1" t="str">
        <f>TEXT(Sales[[#This Row],[Sale_Date]],"MMMM")</f>
        <v>October</v>
      </c>
      <c r="E745" s="1" t="str">
        <f>TEXT(Sales[[#This Row],[Sale_Date]],"DDDD")</f>
        <v>Sunday</v>
      </c>
      <c r="F745" t="s">
        <v>37</v>
      </c>
      <c r="G745" t="s">
        <v>24</v>
      </c>
      <c r="H745" s="2">
        <v>3297.97</v>
      </c>
      <c r="I745">
        <v>40</v>
      </c>
      <c r="J745" t="s">
        <v>28</v>
      </c>
      <c r="K745" s="2">
        <v>3233.37</v>
      </c>
      <c r="L745" s="2">
        <v>3723.21</v>
      </c>
      <c r="M745" t="s">
        <v>29</v>
      </c>
      <c r="N745">
        <v>0.22</v>
      </c>
      <c r="O745" s="2">
        <f>(Sales[[#This Row],[Unit_Price]]-Sales[[#This Row],[Discount]]*Sales[[#This Row],[Unit_Price]])</f>
        <v>2904.1037999999999</v>
      </c>
      <c r="P745" t="s">
        <v>26</v>
      </c>
      <c r="Q745" t="s">
        <v>21</v>
      </c>
      <c r="R745" t="s">
        <v>38</v>
      </c>
    </row>
    <row r="746" spans="1:18" x14ac:dyDescent="0.35">
      <c r="A746">
        <v>1075</v>
      </c>
      <c r="B746" s="1">
        <v>45150</v>
      </c>
      <c r="C746" s="1" t="str">
        <f>TEXT(Sales[[#This Row],[Sale_Date]],"YYYY")</f>
        <v>2023</v>
      </c>
      <c r="D746" s="1" t="str">
        <f>TEXT(Sales[[#This Row],[Sale_Date]],"MMMM")</f>
        <v>August</v>
      </c>
      <c r="E746" s="1" t="str">
        <f>TEXT(Sales[[#This Row],[Sale_Date]],"DDDD")</f>
        <v>Saturday</v>
      </c>
      <c r="F746" t="s">
        <v>23</v>
      </c>
      <c r="G746" t="s">
        <v>33</v>
      </c>
      <c r="H746" s="2">
        <v>8989.4</v>
      </c>
      <c r="I746">
        <v>14</v>
      </c>
      <c r="J746" t="s">
        <v>15</v>
      </c>
      <c r="K746" s="2">
        <v>1612.93</v>
      </c>
      <c r="L746" s="2">
        <v>1964.15</v>
      </c>
      <c r="M746" t="s">
        <v>16</v>
      </c>
      <c r="N746">
        <v>0.24</v>
      </c>
      <c r="O746" s="2">
        <f>(Sales[[#This Row],[Unit_Price]]-Sales[[#This Row],[Discount]]*Sales[[#This Row],[Unit_Price]])</f>
        <v>1492.7540000000001</v>
      </c>
      <c r="P746" t="s">
        <v>26</v>
      </c>
      <c r="Q746" t="s">
        <v>21</v>
      </c>
      <c r="R746" t="s">
        <v>49</v>
      </c>
    </row>
    <row r="747" spans="1:18" x14ac:dyDescent="0.35">
      <c r="A747">
        <v>1012</v>
      </c>
      <c r="B747" s="1">
        <v>44939</v>
      </c>
      <c r="C747" s="1" t="str">
        <f>TEXT(Sales[[#This Row],[Sale_Date]],"YYYY")</f>
        <v>2023</v>
      </c>
      <c r="D747" s="1" t="str">
        <f>TEXT(Sales[[#This Row],[Sale_Date]],"MMMM")</f>
        <v>January</v>
      </c>
      <c r="E747" s="1" t="str">
        <f>TEXT(Sales[[#This Row],[Sale_Date]],"DDDD")</f>
        <v>Friday</v>
      </c>
      <c r="F747" t="s">
        <v>41</v>
      </c>
      <c r="G747" t="s">
        <v>33</v>
      </c>
      <c r="H747" s="2">
        <v>8892.3700000000008</v>
      </c>
      <c r="I747">
        <v>39</v>
      </c>
      <c r="J747" t="s">
        <v>15</v>
      </c>
      <c r="K747" s="2">
        <v>3126.52</v>
      </c>
      <c r="L747" s="2">
        <v>3465.79</v>
      </c>
      <c r="M747" t="s">
        <v>29</v>
      </c>
      <c r="N747">
        <v>0.08</v>
      </c>
      <c r="O747" s="2">
        <f>(Sales[[#This Row],[Unit_Price]]-Sales[[#This Row],[Discount]]*Sales[[#This Row],[Unit_Price]])</f>
        <v>3188.5268000000001</v>
      </c>
      <c r="P747" t="s">
        <v>17</v>
      </c>
      <c r="Q747" t="s">
        <v>18</v>
      </c>
      <c r="R747" t="s">
        <v>51</v>
      </c>
    </row>
    <row r="748" spans="1:18" x14ac:dyDescent="0.35">
      <c r="A748">
        <v>1074</v>
      </c>
      <c r="B748" s="1">
        <v>44972</v>
      </c>
      <c r="C748" s="1" t="str">
        <f>TEXT(Sales[[#This Row],[Sale_Date]],"YYYY")</f>
        <v>2023</v>
      </c>
      <c r="D748" s="1" t="str">
        <f>TEXT(Sales[[#This Row],[Sale_Date]],"MMMM")</f>
        <v>February</v>
      </c>
      <c r="E748" s="1" t="str">
        <f>TEXT(Sales[[#This Row],[Sale_Date]],"DDDD")</f>
        <v>Wednesday</v>
      </c>
      <c r="F748" t="s">
        <v>41</v>
      </c>
      <c r="G748" t="s">
        <v>24</v>
      </c>
      <c r="H748" s="2">
        <v>3320.38</v>
      </c>
      <c r="I748">
        <v>31</v>
      </c>
      <c r="J748" t="s">
        <v>15</v>
      </c>
      <c r="K748" s="2">
        <v>1138.32</v>
      </c>
      <c r="L748" s="2">
        <v>1266.25</v>
      </c>
      <c r="M748" t="s">
        <v>16</v>
      </c>
      <c r="N748">
        <v>0.14000000000000001</v>
      </c>
      <c r="O748" s="2">
        <f>(Sales[[#This Row],[Unit_Price]]-Sales[[#This Row],[Discount]]*Sales[[#This Row],[Unit_Price]])</f>
        <v>1088.9749999999999</v>
      </c>
      <c r="P748" t="s">
        <v>17</v>
      </c>
      <c r="Q748" t="s">
        <v>21</v>
      </c>
      <c r="R748" t="s">
        <v>42</v>
      </c>
    </row>
    <row r="749" spans="1:18" x14ac:dyDescent="0.35">
      <c r="A749">
        <v>1096</v>
      </c>
      <c r="B749" s="1">
        <v>45081</v>
      </c>
      <c r="C749" s="1" t="str">
        <f>TEXT(Sales[[#This Row],[Sale_Date]],"YYYY")</f>
        <v>2023</v>
      </c>
      <c r="D749" s="1" t="str">
        <f>TEXT(Sales[[#This Row],[Sale_Date]],"MMMM")</f>
        <v>June</v>
      </c>
      <c r="E749" s="1" t="str">
        <f>TEXT(Sales[[#This Row],[Sale_Date]],"DDDD")</f>
        <v>Sunday</v>
      </c>
      <c r="F749" t="s">
        <v>13</v>
      </c>
      <c r="G749" t="s">
        <v>24</v>
      </c>
      <c r="H749" s="2">
        <v>9019.51</v>
      </c>
      <c r="I749">
        <v>14</v>
      </c>
      <c r="J749" t="s">
        <v>15</v>
      </c>
      <c r="K749" s="2">
        <v>2251.9499999999998</v>
      </c>
      <c r="L749" s="2">
        <v>2626.3199999999902</v>
      </c>
      <c r="M749" t="s">
        <v>16</v>
      </c>
      <c r="N749">
        <v>0.21</v>
      </c>
      <c r="O749" s="2">
        <f>(Sales[[#This Row],[Unit_Price]]-Sales[[#This Row],[Discount]]*Sales[[#This Row],[Unit_Price]])</f>
        <v>2074.792799999992</v>
      </c>
      <c r="P749" t="s">
        <v>30</v>
      </c>
      <c r="Q749" t="s">
        <v>18</v>
      </c>
      <c r="R749" t="s">
        <v>31</v>
      </c>
    </row>
    <row r="750" spans="1:18" x14ac:dyDescent="0.35">
      <c r="A750">
        <v>1016</v>
      </c>
      <c r="B750" s="1">
        <v>45039</v>
      </c>
      <c r="C750" s="1" t="str">
        <f>TEXT(Sales[[#This Row],[Sale_Date]],"YYYY")</f>
        <v>2023</v>
      </c>
      <c r="D750" s="1" t="str">
        <f>TEXT(Sales[[#This Row],[Sale_Date]],"MMMM")</f>
        <v>April</v>
      </c>
      <c r="E750" s="1" t="str">
        <f>TEXT(Sales[[#This Row],[Sale_Date]],"DDDD")</f>
        <v>Sunday</v>
      </c>
      <c r="F750" t="s">
        <v>23</v>
      </c>
      <c r="G750" t="s">
        <v>24</v>
      </c>
      <c r="H750" s="2">
        <v>9961.9599999999991</v>
      </c>
      <c r="I750">
        <v>6</v>
      </c>
      <c r="J750" t="s">
        <v>15</v>
      </c>
      <c r="K750" s="2">
        <v>4502.09</v>
      </c>
      <c r="L750" s="2">
        <v>4879.72</v>
      </c>
      <c r="M750" t="s">
        <v>29</v>
      </c>
      <c r="N750">
        <v>0.13</v>
      </c>
      <c r="O750" s="2">
        <f>(Sales[[#This Row],[Unit_Price]]-Sales[[#This Row],[Discount]]*Sales[[#This Row],[Unit_Price]])</f>
        <v>4245.3564000000006</v>
      </c>
      <c r="P750" t="s">
        <v>30</v>
      </c>
      <c r="Q750" t="s">
        <v>18</v>
      </c>
      <c r="R750" t="s">
        <v>27</v>
      </c>
    </row>
    <row r="751" spans="1:18" x14ac:dyDescent="0.35">
      <c r="A751">
        <v>1072</v>
      </c>
      <c r="B751" s="1">
        <v>45159</v>
      </c>
      <c r="C751" s="1" t="str">
        <f>TEXT(Sales[[#This Row],[Sale_Date]],"YYYY")</f>
        <v>2023</v>
      </c>
      <c r="D751" s="1" t="str">
        <f>TEXT(Sales[[#This Row],[Sale_Date]],"MMMM")</f>
        <v>August</v>
      </c>
      <c r="E751" s="1" t="str">
        <f>TEXT(Sales[[#This Row],[Sale_Date]],"DDDD")</f>
        <v>Monday</v>
      </c>
      <c r="F751" t="s">
        <v>41</v>
      </c>
      <c r="G751" t="s">
        <v>20</v>
      </c>
      <c r="H751" s="2">
        <v>8271.6200000000008</v>
      </c>
      <c r="I751">
        <v>12</v>
      </c>
      <c r="J751" t="s">
        <v>28</v>
      </c>
      <c r="K751" s="2">
        <v>710.99</v>
      </c>
      <c r="L751" s="2">
        <v>876.46</v>
      </c>
      <c r="M751" t="s">
        <v>16</v>
      </c>
      <c r="N751">
        <v>0.03</v>
      </c>
      <c r="O751" s="2">
        <f>(Sales[[#This Row],[Unit_Price]]-Sales[[#This Row],[Discount]]*Sales[[#This Row],[Unit_Price]])</f>
        <v>850.1662</v>
      </c>
      <c r="P751" t="s">
        <v>30</v>
      </c>
      <c r="Q751" t="s">
        <v>18</v>
      </c>
      <c r="R751" t="s">
        <v>50</v>
      </c>
    </row>
    <row r="752" spans="1:18" x14ac:dyDescent="0.35">
      <c r="A752">
        <v>1076</v>
      </c>
      <c r="B752" s="1">
        <v>44943</v>
      </c>
      <c r="C752" s="1" t="str">
        <f>TEXT(Sales[[#This Row],[Sale_Date]],"YYYY")</f>
        <v>2023</v>
      </c>
      <c r="D752" s="1" t="str">
        <f>TEXT(Sales[[#This Row],[Sale_Date]],"MMMM")</f>
        <v>January</v>
      </c>
      <c r="E752" s="1" t="str">
        <f>TEXT(Sales[[#This Row],[Sale_Date]],"DDDD")</f>
        <v>Tuesday</v>
      </c>
      <c r="F752" t="s">
        <v>32</v>
      </c>
      <c r="G752" t="s">
        <v>24</v>
      </c>
      <c r="H752" s="2">
        <v>8464.23</v>
      </c>
      <c r="I752">
        <v>16</v>
      </c>
      <c r="J752" t="s">
        <v>28</v>
      </c>
      <c r="K752" s="2">
        <v>1964.15</v>
      </c>
      <c r="L752" s="2">
        <v>2211.17</v>
      </c>
      <c r="M752" t="s">
        <v>16</v>
      </c>
      <c r="N752">
        <v>0.21</v>
      </c>
      <c r="O752" s="2">
        <f>(Sales[[#This Row],[Unit_Price]]-Sales[[#This Row],[Discount]]*Sales[[#This Row],[Unit_Price]])</f>
        <v>1746.8243</v>
      </c>
      <c r="P752" t="s">
        <v>26</v>
      </c>
      <c r="Q752" t="s">
        <v>18</v>
      </c>
      <c r="R752" t="s">
        <v>43</v>
      </c>
    </row>
    <row r="753" spans="1:18" x14ac:dyDescent="0.35">
      <c r="A753">
        <v>1024</v>
      </c>
      <c r="B753" s="1">
        <v>45286</v>
      </c>
      <c r="C753" s="1" t="str">
        <f>TEXT(Sales[[#This Row],[Sale_Date]],"YYYY")</f>
        <v>2023</v>
      </c>
      <c r="D753" s="1" t="str">
        <f>TEXT(Sales[[#This Row],[Sale_Date]],"MMMM")</f>
        <v>December</v>
      </c>
      <c r="E753" s="1" t="str">
        <f>TEXT(Sales[[#This Row],[Sale_Date]],"DDDD")</f>
        <v>Tuesday</v>
      </c>
      <c r="F753" t="s">
        <v>23</v>
      </c>
      <c r="G753" t="s">
        <v>14</v>
      </c>
      <c r="H753" s="2">
        <v>2565.19</v>
      </c>
      <c r="I753">
        <v>17</v>
      </c>
      <c r="J753" t="s">
        <v>15</v>
      </c>
      <c r="K753" s="2">
        <v>4114.66</v>
      </c>
      <c r="L753" s="2">
        <v>4269.0199999999904</v>
      </c>
      <c r="M753" t="s">
        <v>16</v>
      </c>
      <c r="N753">
        <v>0.27</v>
      </c>
      <c r="O753" s="2">
        <f>(Sales[[#This Row],[Unit_Price]]-Sales[[#This Row],[Discount]]*Sales[[#This Row],[Unit_Price]])</f>
        <v>3116.384599999993</v>
      </c>
      <c r="P753" t="s">
        <v>26</v>
      </c>
      <c r="Q753" t="s">
        <v>21</v>
      </c>
      <c r="R753" t="s">
        <v>44</v>
      </c>
    </row>
    <row r="754" spans="1:18" x14ac:dyDescent="0.35">
      <c r="A754">
        <v>1028</v>
      </c>
      <c r="B754" s="1">
        <v>45149</v>
      </c>
      <c r="C754" s="1" t="str">
        <f>TEXT(Sales[[#This Row],[Sale_Date]],"YYYY")</f>
        <v>2023</v>
      </c>
      <c r="D754" s="1" t="str">
        <f>TEXT(Sales[[#This Row],[Sale_Date]],"MMMM")</f>
        <v>August</v>
      </c>
      <c r="E754" s="1" t="str">
        <f>TEXT(Sales[[#This Row],[Sale_Date]],"DDDD")</f>
        <v>Friday</v>
      </c>
      <c r="F754" t="s">
        <v>32</v>
      </c>
      <c r="G754" t="s">
        <v>20</v>
      </c>
      <c r="H754" s="2">
        <v>5809.35</v>
      </c>
      <c r="I754">
        <v>45</v>
      </c>
      <c r="J754" t="s">
        <v>28</v>
      </c>
      <c r="K754" s="2">
        <v>4848.9799999999996</v>
      </c>
      <c r="L754" s="2">
        <v>4985.75</v>
      </c>
      <c r="M754" t="s">
        <v>16</v>
      </c>
      <c r="N754">
        <v>0.2</v>
      </c>
      <c r="O754" s="2">
        <f>(Sales[[#This Row],[Unit_Price]]-Sales[[#This Row],[Discount]]*Sales[[#This Row],[Unit_Price]])</f>
        <v>3988.6</v>
      </c>
      <c r="P754" t="s">
        <v>26</v>
      </c>
      <c r="Q754" t="s">
        <v>18</v>
      </c>
      <c r="R754" t="s">
        <v>36</v>
      </c>
    </row>
    <row r="755" spans="1:18" x14ac:dyDescent="0.35">
      <c r="A755">
        <v>1008</v>
      </c>
      <c r="B755" s="1">
        <v>45280</v>
      </c>
      <c r="C755" s="1" t="str">
        <f>TEXT(Sales[[#This Row],[Sale_Date]],"YYYY")</f>
        <v>2023</v>
      </c>
      <c r="D755" s="1" t="str">
        <f>TEXT(Sales[[#This Row],[Sale_Date]],"MMMM")</f>
        <v>December</v>
      </c>
      <c r="E755" s="1" t="str">
        <f>TEXT(Sales[[#This Row],[Sale_Date]],"DDDD")</f>
        <v>Wednesday</v>
      </c>
      <c r="F755" t="s">
        <v>32</v>
      </c>
      <c r="G755" t="s">
        <v>20</v>
      </c>
      <c r="H755" s="2">
        <v>765.83</v>
      </c>
      <c r="I755">
        <v>23</v>
      </c>
      <c r="J755" t="s">
        <v>28</v>
      </c>
      <c r="K755" s="2">
        <v>2296.9299999999998</v>
      </c>
      <c r="L755" s="2">
        <v>2319.62</v>
      </c>
      <c r="M755" t="s">
        <v>16</v>
      </c>
      <c r="N755">
        <v>0.23</v>
      </c>
      <c r="O755" s="2">
        <f>(Sales[[#This Row],[Unit_Price]]-Sales[[#This Row],[Discount]]*Sales[[#This Row],[Unit_Price]])</f>
        <v>1786.1073999999999</v>
      </c>
      <c r="P755" t="s">
        <v>26</v>
      </c>
      <c r="Q755" t="s">
        <v>21</v>
      </c>
      <c r="R755" t="s">
        <v>36</v>
      </c>
    </row>
    <row r="756" spans="1:18" x14ac:dyDescent="0.35">
      <c r="A756">
        <v>1092</v>
      </c>
      <c r="B756" s="1">
        <v>45114</v>
      </c>
      <c r="C756" s="1" t="str">
        <f>TEXT(Sales[[#This Row],[Sale_Date]],"YYYY")</f>
        <v>2023</v>
      </c>
      <c r="D756" s="1" t="str">
        <f>TEXT(Sales[[#This Row],[Sale_Date]],"MMMM")</f>
        <v>July</v>
      </c>
      <c r="E756" s="1" t="str">
        <f>TEXT(Sales[[#This Row],[Sale_Date]],"DDDD")</f>
        <v>Friday</v>
      </c>
      <c r="F756" t="s">
        <v>41</v>
      </c>
      <c r="G756" t="s">
        <v>24</v>
      </c>
      <c r="H756" s="2">
        <v>1039.69</v>
      </c>
      <c r="I756">
        <v>14</v>
      </c>
      <c r="J756" t="s">
        <v>15</v>
      </c>
      <c r="K756" s="2">
        <v>2559.65</v>
      </c>
      <c r="L756" s="2">
        <v>2709.4</v>
      </c>
      <c r="M756" t="s">
        <v>16</v>
      </c>
      <c r="N756">
        <v>0.11</v>
      </c>
      <c r="O756" s="2">
        <f>(Sales[[#This Row],[Unit_Price]]-Sales[[#This Row],[Discount]]*Sales[[#This Row],[Unit_Price]])</f>
        <v>2411.366</v>
      </c>
      <c r="P756" t="s">
        <v>30</v>
      </c>
      <c r="Q756" t="s">
        <v>21</v>
      </c>
      <c r="R756" t="s">
        <v>42</v>
      </c>
    </row>
    <row r="757" spans="1:18" x14ac:dyDescent="0.35">
      <c r="A757">
        <v>1036</v>
      </c>
      <c r="B757" s="1">
        <v>45270</v>
      </c>
      <c r="C757" s="1" t="str">
        <f>TEXT(Sales[[#This Row],[Sale_Date]],"YYYY")</f>
        <v>2023</v>
      </c>
      <c r="D757" s="1" t="str">
        <f>TEXT(Sales[[#This Row],[Sale_Date]],"MMMM")</f>
        <v>December</v>
      </c>
      <c r="E757" s="1" t="str">
        <f>TEXT(Sales[[#This Row],[Sale_Date]],"DDDD")</f>
        <v>Sunday</v>
      </c>
      <c r="F757" t="s">
        <v>23</v>
      </c>
      <c r="G757" t="s">
        <v>14</v>
      </c>
      <c r="H757" s="2">
        <v>9989.0400000000009</v>
      </c>
      <c r="I757">
        <v>7</v>
      </c>
      <c r="J757" t="s">
        <v>25</v>
      </c>
      <c r="K757" s="2">
        <v>2882.25</v>
      </c>
      <c r="L757" s="2">
        <v>3163.7</v>
      </c>
      <c r="M757" t="s">
        <v>16</v>
      </c>
      <c r="N757">
        <v>0.05</v>
      </c>
      <c r="O757" s="2">
        <f>(Sales[[#This Row],[Unit_Price]]-Sales[[#This Row],[Discount]]*Sales[[#This Row],[Unit_Price]])</f>
        <v>3005.5149999999999</v>
      </c>
      <c r="P757" t="s">
        <v>17</v>
      </c>
      <c r="Q757" t="s">
        <v>21</v>
      </c>
      <c r="R757" t="s">
        <v>44</v>
      </c>
    </row>
    <row r="758" spans="1:18" x14ac:dyDescent="0.35">
      <c r="A758">
        <v>1090</v>
      </c>
      <c r="B758" s="1">
        <v>45291</v>
      </c>
      <c r="C758" s="1" t="str">
        <f>TEXT(Sales[[#This Row],[Sale_Date]],"YYYY")</f>
        <v>2023</v>
      </c>
      <c r="D758" s="1" t="str">
        <f>TEXT(Sales[[#This Row],[Sale_Date]],"MMMM")</f>
        <v>December</v>
      </c>
      <c r="E758" s="1" t="str">
        <f>TEXT(Sales[[#This Row],[Sale_Date]],"DDDD")</f>
        <v>Sunday</v>
      </c>
      <c r="F758" t="s">
        <v>37</v>
      </c>
      <c r="G758" t="s">
        <v>20</v>
      </c>
      <c r="H758" s="2">
        <v>3333.73</v>
      </c>
      <c r="I758">
        <v>46</v>
      </c>
      <c r="J758" t="s">
        <v>28</v>
      </c>
      <c r="K758" s="2">
        <v>4665.12</v>
      </c>
      <c r="L758" s="2">
        <v>4675.8999999999996</v>
      </c>
      <c r="M758" t="s">
        <v>29</v>
      </c>
      <c r="N758">
        <v>0.19</v>
      </c>
      <c r="O758" s="2">
        <f>(Sales[[#This Row],[Unit_Price]]-Sales[[#This Row],[Discount]]*Sales[[#This Row],[Unit_Price]])</f>
        <v>3787.4789999999998</v>
      </c>
      <c r="P758" t="s">
        <v>17</v>
      </c>
      <c r="Q758" t="s">
        <v>21</v>
      </c>
      <c r="R758" t="s">
        <v>40</v>
      </c>
    </row>
    <row r="759" spans="1:18" x14ac:dyDescent="0.35">
      <c r="A759">
        <v>1008</v>
      </c>
      <c r="B759" s="1">
        <v>45089</v>
      </c>
      <c r="C759" s="1" t="str">
        <f>TEXT(Sales[[#This Row],[Sale_Date]],"YYYY")</f>
        <v>2023</v>
      </c>
      <c r="D759" s="1" t="str">
        <f>TEXT(Sales[[#This Row],[Sale_Date]],"MMMM")</f>
        <v>June</v>
      </c>
      <c r="E759" s="1" t="str">
        <f>TEXT(Sales[[#This Row],[Sale_Date]],"DDDD")</f>
        <v>Monday</v>
      </c>
      <c r="F759" t="s">
        <v>41</v>
      </c>
      <c r="G759" t="s">
        <v>33</v>
      </c>
      <c r="H759" s="2">
        <v>7507.02</v>
      </c>
      <c r="I759">
        <v>32</v>
      </c>
      <c r="J759" t="s">
        <v>25</v>
      </c>
      <c r="K759" s="2">
        <v>4298.12</v>
      </c>
      <c r="L759" s="2">
        <v>4446.8999999999996</v>
      </c>
      <c r="M759" t="s">
        <v>29</v>
      </c>
      <c r="N759">
        <v>0.1</v>
      </c>
      <c r="O759" s="2">
        <f>(Sales[[#This Row],[Unit_Price]]-Sales[[#This Row],[Discount]]*Sales[[#This Row],[Unit_Price]])</f>
        <v>4002.2099999999996</v>
      </c>
      <c r="P759" t="s">
        <v>26</v>
      </c>
      <c r="Q759" t="s">
        <v>18</v>
      </c>
      <c r="R759" t="s">
        <v>51</v>
      </c>
    </row>
    <row r="760" spans="1:18" x14ac:dyDescent="0.35">
      <c r="A760">
        <v>1058</v>
      </c>
      <c r="B760" s="1">
        <v>45252</v>
      </c>
      <c r="C760" s="1" t="str">
        <f>TEXT(Sales[[#This Row],[Sale_Date]],"YYYY")</f>
        <v>2023</v>
      </c>
      <c r="D760" s="1" t="str">
        <f>TEXT(Sales[[#This Row],[Sale_Date]],"MMMM")</f>
        <v>November</v>
      </c>
      <c r="E760" s="1" t="str">
        <f>TEXT(Sales[[#This Row],[Sale_Date]],"DDDD")</f>
        <v>Wednesday</v>
      </c>
      <c r="F760" t="s">
        <v>41</v>
      </c>
      <c r="G760" t="s">
        <v>20</v>
      </c>
      <c r="H760" s="2">
        <v>8085.98</v>
      </c>
      <c r="I760">
        <v>15</v>
      </c>
      <c r="J760" t="s">
        <v>28</v>
      </c>
      <c r="K760" s="2">
        <v>894.48</v>
      </c>
      <c r="L760" s="2">
        <v>1336.37</v>
      </c>
      <c r="M760" t="s">
        <v>16</v>
      </c>
      <c r="N760">
        <v>0.26</v>
      </c>
      <c r="O760" s="2">
        <f>(Sales[[#This Row],[Unit_Price]]-Sales[[#This Row],[Discount]]*Sales[[#This Row],[Unit_Price]])</f>
        <v>988.91379999999992</v>
      </c>
      <c r="P760" t="s">
        <v>17</v>
      </c>
      <c r="Q760" t="s">
        <v>21</v>
      </c>
      <c r="R760" t="s">
        <v>50</v>
      </c>
    </row>
    <row r="761" spans="1:18" x14ac:dyDescent="0.35">
      <c r="A761">
        <v>1060</v>
      </c>
      <c r="B761" s="1">
        <v>45000</v>
      </c>
      <c r="C761" s="1" t="str">
        <f>TEXT(Sales[[#This Row],[Sale_Date]],"YYYY")</f>
        <v>2023</v>
      </c>
      <c r="D761" s="1" t="str">
        <f>TEXT(Sales[[#This Row],[Sale_Date]],"MMMM")</f>
        <v>March</v>
      </c>
      <c r="E761" s="1" t="str">
        <f>TEXT(Sales[[#This Row],[Sale_Date]],"DDDD")</f>
        <v>Wednesday</v>
      </c>
      <c r="F761" t="s">
        <v>23</v>
      </c>
      <c r="G761" t="s">
        <v>24</v>
      </c>
      <c r="H761" s="2">
        <v>8594.43</v>
      </c>
      <c r="I761">
        <v>44</v>
      </c>
      <c r="J761" t="s">
        <v>28</v>
      </c>
      <c r="K761" s="2">
        <v>2211.9499999999998</v>
      </c>
      <c r="L761" s="2">
        <v>2512.8399999999901</v>
      </c>
      <c r="M761" t="s">
        <v>16</v>
      </c>
      <c r="N761">
        <v>0.04</v>
      </c>
      <c r="O761" s="2">
        <f>(Sales[[#This Row],[Unit_Price]]-Sales[[#This Row],[Discount]]*Sales[[#This Row],[Unit_Price]])</f>
        <v>2412.3263999999904</v>
      </c>
      <c r="P761" t="s">
        <v>17</v>
      </c>
      <c r="Q761" t="s">
        <v>18</v>
      </c>
      <c r="R761" t="s">
        <v>27</v>
      </c>
    </row>
    <row r="762" spans="1:18" x14ac:dyDescent="0.35">
      <c r="A762">
        <v>1050</v>
      </c>
      <c r="B762" s="1">
        <v>45159</v>
      </c>
      <c r="C762" s="1" t="str">
        <f>TEXT(Sales[[#This Row],[Sale_Date]],"YYYY")</f>
        <v>2023</v>
      </c>
      <c r="D762" s="1" t="str">
        <f>TEXT(Sales[[#This Row],[Sale_Date]],"MMMM")</f>
        <v>August</v>
      </c>
      <c r="E762" s="1" t="str">
        <f>TEXT(Sales[[#This Row],[Sale_Date]],"DDDD")</f>
        <v>Monday</v>
      </c>
      <c r="F762" t="s">
        <v>23</v>
      </c>
      <c r="G762" t="s">
        <v>14</v>
      </c>
      <c r="H762" s="2">
        <v>9976.52</v>
      </c>
      <c r="I762">
        <v>17</v>
      </c>
      <c r="J762" t="s">
        <v>15</v>
      </c>
      <c r="K762" s="2">
        <v>2346.8000000000002</v>
      </c>
      <c r="L762" s="2">
        <v>2654.65</v>
      </c>
      <c r="M762" t="s">
        <v>29</v>
      </c>
      <c r="N762">
        <v>0.13</v>
      </c>
      <c r="O762" s="2">
        <f>(Sales[[#This Row],[Unit_Price]]-Sales[[#This Row],[Discount]]*Sales[[#This Row],[Unit_Price]])</f>
        <v>2309.5455000000002</v>
      </c>
      <c r="P762" t="s">
        <v>17</v>
      </c>
      <c r="Q762" t="s">
        <v>21</v>
      </c>
      <c r="R762" t="s">
        <v>44</v>
      </c>
    </row>
    <row r="763" spans="1:18" x14ac:dyDescent="0.35">
      <c r="A763">
        <v>1028</v>
      </c>
      <c r="B763" s="1">
        <v>45150</v>
      </c>
      <c r="C763" s="1" t="str">
        <f>TEXT(Sales[[#This Row],[Sale_Date]],"YYYY")</f>
        <v>2023</v>
      </c>
      <c r="D763" s="1" t="str">
        <f>TEXT(Sales[[#This Row],[Sale_Date]],"MMMM")</f>
        <v>August</v>
      </c>
      <c r="E763" s="1" t="str">
        <f>TEXT(Sales[[#This Row],[Sale_Date]],"DDDD")</f>
        <v>Saturday</v>
      </c>
      <c r="F763" t="s">
        <v>32</v>
      </c>
      <c r="G763" t="s">
        <v>24</v>
      </c>
      <c r="H763" s="2">
        <v>2490.8200000000002</v>
      </c>
      <c r="I763">
        <v>41</v>
      </c>
      <c r="J763" t="s">
        <v>28</v>
      </c>
      <c r="K763" s="2">
        <v>3956.03</v>
      </c>
      <c r="L763" s="2">
        <v>4163.68</v>
      </c>
      <c r="M763" t="s">
        <v>29</v>
      </c>
      <c r="N763">
        <v>0.12</v>
      </c>
      <c r="O763" s="2">
        <f>(Sales[[#This Row],[Unit_Price]]-Sales[[#This Row],[Discount]]*Sales[[#This Row],[Unit_Price]])</f>
        <v>3664.0384000000004</v>
      </c>
      <c r="P763" t="s">
        <v>26</v>
      </c>
      <c r="Q763" t="s">
        <v>21</v>
      </c>
      <c r="R763" t="s">
        <v>43</v>
      </c>
    </row>
    <row r="764" spans="1:18" x14ac:dyDescent="0.35">
      <c r="A764">
        <v>1092</v>
      </c>
      <c r="B764" s="1">
        <v>45245</v>
      </c>
      <c r="C764" s="1" t="str">
        <f>TEXT(Sales[[#This Row],[Sale_Date]],"YYYY")</f>
        <v>2023</v>
      </c>
      <c r="D764" s="1" t="str">
        <f>TEXT(Sales[[#This Row],[Sale_Date]],"MMMM")</f>
        <v>November</v>
      </c>
      <c r="E764" s="1" t="str">
        <f>TEXT(Sales[[#This Row],[Sale_Date]],"DDDD")</f>
        <v>Wednesday</v>
      </c>
      <c r="F764" t="s">
        <v>23</v>
      </c>
      <c r="G764" t="s">
        <v>33</v>
      </c>
      <c r="H764" s="2">
        <v>499.47</v>
      </c>
      <c r="I764">
        <v>47</v>
      </c>
      <c r="J764" t="s">
        <v>34</v>
      </c>
      <c r="K764" s="2">
        <v>3034.32</v>
      </c>
      <c r="L764" s="2">
        <v>3375.79</v>
      </c>
      <c r="M764" t="s">
        <v>29</v>
      </c>
      <c r="N764">
        <v>0.28000000000000003</v>
      </c>
      <c r="O764" s="2">
        <f>(Sales[[#This Row],[Unit_Price]]-Sales[[#This Row],[Discount]]*Sales[[#This Row],[Unit_Price]])</f>
        <v>2430.5688</v>
      </c>
      <c r="P764" t="s">
        <v>30</v>
      </c>
      <c r="Q764" t="s">
        <v>18</v>
      </c>
      <c r="R764" t="s">
        <v>49</v>
      </c>
    </row>
    <row r="765" spans="1:18" x14ac:dyDescent="0.35">
      <c r="A765">
        <v>1041</v>
      </c>
      <c r="B765" s="1">
        <v>44986</v>
      </c>
      <c r="C765" s="1" t="str">
        <f>TEXT(Sales[[#This Row],[Sale_Date]],"YYYY")</f>
        <v>2023</v>
      </c>
      <c r="D765" s="1" t="str">
        <f>TEXT(Sales[[#This Row],[Sale_Date]],"MMMM")</f>
        <v>March</v>
      </c>
      <c r="E765" s="1" t="str">
        <f>TEXT(Sales[[#This Row],[Sale_Date]],"DDDD")</f>
        <v>Wednesday</v>
      </c>
      <c r="F765" t="s">
        <v>32</v>
      </c>
      <c r="G765" t="s">
        <v>33</v>
      </c>
      <c r="H765" s="2">
        <v>4170.8</v>
      </c>
      <c r="I765">
        <v>44</v>
      </c>
      <c r="J765" t="s">
        <v>34</v>
      </c>
      <c r="K765" s="2">
        <v>3288.39</v>
      </c>
      <c r="L765" s="2">
        <v>3391.46</v>
      </c>
      <c r="M765" t="s">
        <v>29</v>
      </c>
      <c r="N765">
        <v>0.05</v>
      </c>
      <c r="O765" s="2">
        <f>(Sales[[#This Row],[Unit_Price]]-Sales[[#This Row],[Discount]]*Sales[[#This Row],[Unit_Price]])</f>
        <v>3221.8870000000002</v>
      </c>
      <c r="P765" t="s">
        <v>30</v>
      </c>
      <c r="Q765" t="s">
        <v>21</v>
      </c>
      <c r="R765" t="s">
        <v>35</v>
      </c>
    </row>
    <row r="766" spans="1:18" x14ac:dyDescent="0.35">
      <c r="A766">
        <v>1100</v>
      </c>
      <c r="B766" s="1">
        <v>45261</v>
      </c>
      <c r="C766" s="1" t="str">
        <f>TEXT(Sales[[#This Row],[Sale_Date]],"YYYY")</f>
        <v>2023</v>
      </c>
      <c r="D766" s="1" t="str">
        <f>TEXT(Sales[[#This Row],[Sale_Date]],"MMMM")</f>
        <v>December</v>
      </c>
      <c r="E766" s="1" t="str">
        <f>TEXT(Sales[[#This Row],[Sale_Date]],"DDDD")</f>
        <v>Friday</v>
      </c>
      <c r="F766" t="s">
        <v>41</v>
      </c>
      <c r="G766" t="s">
        <v>33</v>
      </c>
      <c r="H766" s="2">
        <v>1387.8</v>
      </c>
      <c r="I766">
        <v>34</v>
      </c>
      <c r="J766" t="s">
        <v>15</v>
      </c>
      <c r="K766" s="2">
        <v>4991.09</v>
      </c>
      <c r="L766" s="2">
        <v>5402.28</v>
      </c>
      <c r="M766" t="s">
        <v>16</v>
      </c>
      <c r="N766">
        <v>0</v>
      </c>
      <c r="O766" s="2">
        <f>(Sales[[#This Row],[Unit_Price]]-Sales[[#This Row],[Discount]]*Sales[[#This Row],[Unit_Price]])</f>
        <v>5402.28</v>
      </c>
      <c r="P766" t="s">
        <v>17</v>
      </c>
      <c r="Q766" t="s">
        <v>21</v>
      </c>
      <c r="R766" t="s">
        <v>51</v>
      </c>
    </row>
    <row r="767" spans="1:18" x14ac:dyDescent="0.35">
      <c r="A767">
        <v>1064</v>
      </c>
      <c r="B767" s="1">
        <v>45148</v>
      </c>
      <c r="C767" s="1" t="str">
        <f>TEXT(Sales[[#This Row],[Sale_Date]],"YYYY")</f>
        <v>2023</v>
      </c>
      <c r="D767" s="1" t="str">
        <f>TEXT(Sales[[#This Row],[Sale_Date]],"MMMM")</f>
        <v>August</v>
      </c>
      <c r="E767" s="1" t="str">
        <f>TEXT(Sales[[#This Row],[Sale_Date]],"DDDD")</f>
        <v>Thursday</v>
      </c>
      <c r="F767" t="s">
        <v>13</v>
      </c>
      <c r="G767" t="s">
        <v>24</v>
      </c>
      <c r="H767" s="2">
        <v>322.02</v>
      </c>
      <c r="I767">
        <v>5</v>
      </c>
      <c r="J767" t="s">
        <v>25</v>
      </c>
      <c r="K767" s="2">
        <v>421.05</v>
      </c>
      <c r="L767" s="2">
        <v>488.23</v>
      </c>
      <c r="M767" t="s">
        <v>16</v>
      </c>
      <c r="N767">
        <v>7.0000000000000007E-2</v>
      </c>
      <c r="O767" s="2">
        <f>(Sales[[#This Row],[Unit_Price]]-Sales[[#This Row],[Discount]]*Sales[[#This Row],[Unit_Price]])</f>
        <v>454.0539</v>
      </c>
      <c r="P767" t="s">
        <v>30</v>
      </c>
      <c r="Q767" t="s">
        <v>21</v>
      </c>
      <c r="R767" t="s">
        <v>31</v>
      </c>
    </row>
    <row r="768" spans="1:18" x14ac:dyDescent="0.35">
      <c r="A768">
        <v>1027</v>
      </c>
      <c r="B768" s="1">
        <v>44963</v>
      </c>
      <c r="C768" s="1" t="str">
        <f>TEXT(Sales[[#This Row],[Sale_Date]],"YYYY")</f>
        <v>2023</v>
      </c>
      <c r="D768" s="1" t="str">
        <f>TEXT(Sales[[#This Row],[Sale_Date]],"MMMM")</f>
        <v>February</v>
      </c>
      <c r="E768" s="1" t="str">
        <f>TEXT(Sales[[#This Row],[Sale_Date]],"DDDD")</f>
        <v>Monday</v>
      </c>
      <c r="F768" t="s">
        <v>37</v>
      </c>
      <c r="G768" t="s">
        <v>20</v>
      </c>
      <c r="H768" s="2">
        <v>3668.23</v>
      </c>
      <c r="I768">
        <v>45</v>
      </c>
      <c r="J768" t="s">
        <v>25</v>
      </c>
      <c r="K768" s="2">
        <v>1153.9000000000001</v>
      </c>
      <c r="L768" s="2">
        <v>1485.34</v>
      </c>
      <c r="M768" t="s">
        <v>29</v>
      </c>
      <c r="N768">
        <v>0.25</v>
      </c>
      <c r="O768" s="2">
        <f>(Sales[[#This Row],[Unit_Price]]-Sales[[#This Row],[Discount]]*Sales[[#This Row],[Unit_Price]])</f>
        <v>1114.0049999999999</v>
      </c>
      <c r="P768" t="s">
        <v>30</v>
      </c>
      <c r="Q768" t="s">
        <v>21</v>
      </c>
      <c r="R768" t="s">
        <v>40</v>
      </c>
    </row>
    <row r="769" spans="1:18" x14ac:dyDescent="0.35">
      <c r="A769">
        <v>1063</v>
      </c>
      <c r="B769" s="1">
        <v>45204</v>
      </c>
      <c r="C769" s="1" t="str">
        <f>TEXT(Sales[[#This Row],[Sale_Date]],"YYYY")</f>
        <v>2023</v>
      </c>
      <c r="D769" s="1" t="str">
        <f>TEXT(Sales[[#This Row],[Sale_Date]],"MMMM")</f>
        <v>October</v>
      </c>
      <c r="E769" s="1" t="str">
        <f>TEXT(Sales[[#This Row],[Sale_Date]],"DDDD")</f>
        <v>Thursday</v>
      </c>
      <c r="F769" t="s">
        <v>41</v>
      </c>
      <c r="G769" t="s">
        <v>24</v>
      </c>
      <c r="H769" s="2">
        <v>7859.01</v>
      </c>
      <c r="I769">
        <v>27</v>
      </c>
      <c r="J769" t="s">
        <v>25</v>
      </c>
      <c r="K769" s="2">
        <v>2069.08</v>
      </c>
      <c r="L769" s="2">
        <v>2246.2399999999998</v>
      </c>
      <c r="M769" t="s">
        <v>29</v>
      </c>
      <c r="N769">
        <v>0.06</v>
      </c>
      <c r="O769" s="2">
        <f>(Sales[[#This Row],[Unit_Price]]-Sales[[#This Row],[Discount]]*Sales[[#This Row],[Unit_Price]])</f>
        <v>2111.4656</v>
      </c>
      <c r="P769" t="s">
        <v>26</v>
      </c>
      <c r="Q769" t="s">
        <v>21</v>
      </c>
      <c r="R769" t="s">
        <v>42</v>
      </c>
    </row>
    <row r="770" spans="1:18" x14ac:dyDescent="0.35">
      <c r="A770">
        <v>1017</v>
      </c>
      <c r="B770" s="1">
        <v>45122</v>
      </c>
      <c r="C770" s="1" t="str">
        <f>TEXT(Sales[[#This Row],[Sale_Date]],"YYYY")</f>
        <v>2023</v>
      </c>
      <c r="D770" s="1" t="str">
        <f>TEXT(Sales[[#This Row],[Sale_Date]],"MMMM")</f>
        <v>July</v>
      </c>
      <c r="E770" s="1" t="str">
        <f>TEXT(Sales[[#This Row],[Sale_Date]],"DDDD")</f>
        <v>Saturday</v>
      </c>
      <c r="F770" t="s">
        <v>23</v>
      </c>
      <c r="G770" t="s">
        <v>14</v>
      </c>
      <c r="H770" s="2">
        <v>5705.19</v>
      </c>
      <c r="I770">
        <v>23</v>
      </c>
      <c r="J770" t="s">
        <v>34</v>
      </c>
      <c r="K770" s="2">
        <v>1771.52</v>
      </c>
      <c r="L770" s="2">
        <v>2147.8000000000002</v>
      </c>
      <c r="M770" t="s">
        <v>29</v>
      </c>
      <c r="N770">
        <v>7.0000000000000007E-2</v>
      </c>
      <c r="O770" s="2">
        <f>(Sales[[#This Row],[Unit_Price]]-Sales[[#This Row],[Discount]]*Sales[[#This Row],[Unit_Price]])</f>
        <v>1997.4540000000002</v>
      </c>
      <c r="P770" t="s">
        <v>26</v>
      </c>
      <c r="Q770" t="s">
        <v>18</v>
      </c>
      <c r="R770" t="s">
        <v>44</v>
      </c>
    </row>
    <row r="771" spans="1:18" x14ac:dyDescent="0.35">
      <c r="A771">
        <v>1073</v>
      </c>
      <c r="B771" s="1">
        <v>45278</v>
      </c>
      <c r="C771" s="1" t="str">
        <f>TEXT(Sales[[#This Row],[Sale_Date]],"YYYY")</f>
        <v>2023</v>
      </c>
      <c r="D771" s="1" t="str">
        <f>TEXT(Sales[[#This Row],[Sale_Date]],"MMMM")</f>
        <v>December</v>
      </c>
      <c r="E771" s="1" t="str">
        <f>TEXT(Sales[[#This Row],[Sale_Date]],"DDDD")</f>
        <v>Monday</v>
      </c>
      <c r="F771" t="s">
        <v>37</v>
      </c>
      <c r="G771" t="s">
        <v>20</v>
      </c>
      <c r="H771" s="2">
        <v>3196.5</v>
      </c>
      <c r="I771">
        <v>40</v>
      </c>
      <c r="J771" t="s">
        <v>25</v>
      </c>
      <c r="K771" s="2">
        <v>157.15</v>
      </c>
      <c r="L771" s="2">
        <v>436.53</v>
      </c>
      <c r="M771" t="s">
        <v>29</v>
      </c>
      <c r="N771">
        <v>0.04</v>
      </c>
      <c r="O771" s="2">
        <f>(Sales[[#This Row],[Unit_Price]]-Sales[[#This Row],[Discount]]*Sales[[#This Row],[Unit_Price]])</f>
        <v>419.06879999999995</v>
      </c>
      <c r="P771" t="s">
        <v>17</v>
      </c>
      <c r="Q771" t="s">
        <v>21</v>
      </c>
      <c r="R771" t="s">
        <v>40</v>
      </c>
    </row>
    <row r="772" spans="1:18" x14ac:dyDescent="0.35">
      <c r="A772">
        <v>1033</v>
      </c>
      <c r="B772" s="1">
        <v>45168</v>
      </c>
      <c r="C772" s="1" t="str">
        <f>TEXT(Sales[[#This Row],[Sale_Date]],"YYYY")</f>
        <v>2023</v>
      </c>
      <c r="D772" s="1" t="str">
        <f>TEXT(Sales[[#This Row],[Sale_Date]],"MMMM")</f>
        <v>August</v>
      </c>
      <c r="E772" s="1" t="str">
        <f>TEXT(Sales[[#This Row],[Sale_Date]],"DDDD")</f>
        <v>Wednesday</v>
      </c>
      <c r="F772" t="s">
        <v>13</v>
      </c>
      <c r="G772" t="s">
        <v>33</v>
      </c>
      <c r="H772" s="2">
        <v>6577.99</v>
      </c>
      <c r="I772">
        <v>14</v>
      </c>
      <c r="J772" t="s">
        <v>25</v>
      </c>
      <c r="K772" s="2">
        <v>504.3</v>
      </c>
      <c r="L772" s="2">
        <v>735.95</v>
      </c>
      <c r="M772" t="s">
        <v>16</v>
      </c>
      <c r="N772">
        <v>0.21</v>
      </c>
      <c r="O772" s="2">
        <f>(Sales[[#This Row],[Unit_Price]]-Sales[[#This Row],[Discount]]*Sales[[#This Row],[Unit_Price]])</f>
        <v>581.40050000000008</v>
      </c>
      <c r="P772" t="s">
        <v>17</v>
      </c>
      <c r="Q772" t="s">
        <v>21</v>
      </c>
      <c r="R772" t="s">
        <v>45</v>
      </c>
    </row>
    <row r="773" spans="1:18" x14ac:dyDescent="0.35">
      <c r="A773">
        <v>1084</v>
      </c>
      <c r="B773" s="1">
        <v>45250</v>
      </c>
      <c r="C773" s="1" t="str">
        <f>TEXT(Sales[[#This Row],[Sale_Date]],"YYYY")</f>
        <v>2023</v>
      </c>
      <c r="D773" s="1" t="str">
        <f>TEXT(Sales[[#This Row],[Sale_Date]],"MMMM")</f>
        <v>November</v>
      </c>
      <c r="E773" s="1" t="str">
        <f>TEXT(Sales[[#This Row],[Sale_Date]],"DDDD")</f>
        <v>Monday</v>
      </c>
      <c r="F773" t="s">
        <v>13</v>
      </c>
      <c r="G773" t="s">
        <v>24</v>
      </c>
      <c r="H773" s="2">
        <v>2396.98</v>
      </c>
      <c r="I773">
        <v>15</v>
      </c>
      <c r="J773" t="s">
        <v>15</v>
      </c>
      <c r="K773" s="2">
        <v>3420.72</v>
      </c>
      <c r="L773" s="2">
        <v>3513.74</v>
      </c>
      <c r="M773" t="s">
        <v>29</v>
      </c>
      <c r="N773">
        <v>0.02</v>
      </c>
      <c r="O773" s="2">
        <f>(Sales[[#This Row],[Unit_Price]]-Sales[[#This Row],[Discount]]*Sales[[#This Row],[Unit_Price]])</f>
        <v>3443.4651999999996</v>
      </c>
      <c r="P773" t="s">
        <v>17</v>
      </c>
      <c r="Q773" t="s">
        <v>18</v>
      </c>
      <c r="R773" t="s">
        <v>31</v>
      </c>
    </row>
    <row r="774" spans="1:18" x14ac:dyDescent="0.35">
      <c r="A774">
        <v>1077</v>
      </c>
      <c r="B774" s="1">
        <v>45145</v>
      </c>
      <c r="C774" s="1" t="str">
        <f>TEXT(Sales[[#This Row],[Sale_Date]],"YYYY")</f>
        <v>2023</v>
      </c>
      <c r="D774" s="1" t="str">
        <f>TEXT(Sales[[#This Row],[Sale_Date]],"MMMM")</f>
        <v>August</v>
      </c>
      <c r="E774" s="1" t="str">
        <f>TEXT(Sales[[#This Row],[Sale_Date]],"DDDD")</f>
        <v>Monday</v>
      </c>
      <c r="F774" t="s">
        <v>32</v>
      </c>
      <c r="G774" t="s">
        <v>33</v>
      </c>
      <c r="H774" s="2">
        <v>242.38</v>
      </c>
      <c r="I774">
        <v>43</v>
      </c>
      <c r="J774" t="s">
        <v>25</v>
      </c>
      <c r="K774" s="2">
        <v>4402.66</v>
      </c>
      <c r="L774" s="2">
        <v>4724.7</v>
      </c>
      <c r="M774" t="s">
        <v>29</v>
      </c>
      <c r="N774">
        <v>0.1</v>
      </c>
      <c r="O774" s="2">
        <f>(Sales[[#This Row],[Unit_Price]]-Sales[[#This Row],[Discount]]*Sales[[#This Row],[Unit_Price]])</f>
        <v>4252.2299999999996</v>
      </c>
      <c r="P774" t="s">
        <v>26</v>
      </c>
      <c r="Q774" t="s">
        <v>21</v>
      </c>
      <c r="R774" t="s">
        <v>35</v>
      </c>
    </row>
    <row r="775" spans="1:18" x14ac:dyDescent="0.35">
      <c r="A775">
        <v>1092</v>
      </c>
      <c r="B775" s="1">
        <v>45118</v>
      </c>
      <c r="C775" s="1" t="str">
        <f>TEXT(Sales[[#This Row],[Sale_Date]],"YYYY")</f>
        <v>2023</v>
      </c>
      <c r="D775" s="1" t="str">
        <f>TEXT(Sales[[#This Row],[Sale_Date]],"MMMM")</f>
        <v>July</v>
      </c>
      <c r="E775" s="1" t="str">
        <f>TEXT(Sales[[#This Row],[Sale_Date]],"DDDD")</f>
        <v>Tuesday</v>
      </c>
      <c r="F775" t="s">
        <v>37</v>
      </c>
      <c r="G775" t="s">
        <v>33</v>
      </c>
      <c r="H775" s="2">
        <v>7667.1</v>
      </c>
      <c r="I775">
        <v>33</v>
      </c>
      <c r="J775" t="s">
        <v>34</v>
      </c>
      <c r="K775" s="2">
        <v>2595.42</v>
      </c>
      <c r="L775" s="2">
        <v>3083.06</v>
      </c>
      <c r="M775" t="s">
        <v>29</v>
      </c>
      <c r="N775">
        <v>0.08</v>
      </c>
      <c r="O775" s="2">
        <f>(Sales[[#This Row],[Unit_Price]]-Sales[[#This Row],[Discount]]*Sales[[#This Row],[Unit_Price]])</f>
        <v>2836.4151999999999</v>
      </c>
      <c r="P775" t="s">
        <v>30</v>
      </c>
      <c r="Q775" t="s">
        <v>18</v>
      </c>
      <c r="R775" t="s">
        <v>47</v>
      </c>
    </row>
    <row r="776" spans="1:18" x14ac:dyDescent="0.35">
      <c r="A776">
        <v>1029</v>
      </c>
      <c r="B776" s="1">
        <v>44943</v>
      </c>
      <c r="C776" s="1" t="str">
        <f>TEXT(Sales[[#This Row],[Sale_Date]],"YYYY")</f>
        <v>2023</v>
      </c>
      <c r="D776" s="1" t="str">
        <f>TEXT(Sales[[#This Row],[Sale_Date]],"MMMM")</f>
        <v>January</v>
      </c>
      <c r="E776" s="1" t="str">
        <f>TEXT(Sales[[#This Row],[Sale_Date]],"DDDD")</f>
        <v>Tuesday</v>
      </c>
      <c r="F776" t="s">
        <v>32</v>
      </c>
      <c r="G776" t="s">
        <v>14</v>
      </c>
      <c r="H776" s="2">
        <v>6275.06</v>
      </c>
      <c r="I776">
        <v>31</v>
      </c>
      <c r="J776" t="s">
        <v>34</v>
      </c>
      <c r="K776" s="2">
        <v>2719</v>
      </c>
      <c r="L776" s="2">
        <v>3133.55</v>
      </c>
      <c r="M776" t="s">
        <v>16</v>
      </c>
      <c r="N776">
        <v>0.17</v>
      </c>
      <c r="O776" s="2">
        <f>(Sales[[#This Row],[Unit_Price]]-Sales[[#This Row],[Discount]]*Sales[[#This Row],[Unit_Price]])</f>
        <v>2600.8465000000001</v>
      </c>
      <c r="P776" t="s">
        <v>26</v>
      </c>
      <c r="Q776" t="s">
        <v>21</v>
      </c>
      <c r="R776" t="s">
        <v>52</v>
      </c>
    </row>
    <row r="777" spans="1:18" x14ac:dyDescent="0.35">
      <c r="A777">
        <v>1013</v>
      </c>
      <c r="B777" s="1">
        <v>44938</v>
      </c>
      <c r="C777" s="1" t="str">
        <f>TEXT(Sales[[#This Row],[Sale_Date]],"YYYY")</f>
        <v>2023</v>
      </c>
      <c r="D777" s="1" t="str">
        <f>TEXT(Sales[[#This Row],[Sale_Date]],"MMMM")</f>
        <v>January</v>
      </c>
      <c r="E777" s="1" t="str">
        <f>TEXT(Sales[[#This Row],[Sale_Date]],"DDDD")</f>
        <v>Thursday</v>
      </c>
      <c r="F777" t="s">
        <v>41</v>
      </c>
      <c r="G777" t="s">
        <v>20</v>
      </c>
      <c r="H777" s="2">
        <v>7646.8</v>
      </c>
      <c r="I777">
        <v>35</v>
      </c>
      <c r="J777" t="s">
        <v>34</v>
      </c>
      <c r="K777" s="2">
        <v>1312.71</v>
      </c>
      <c r="L777" s="2">
        <v>1352.11</v>
      </c>
      <c r="M777" t="s">
        <v>16</v>
      </c>
      <c r="N777">
        <v>0.22</v>
      </c>
      <c r="O777" s="2">
        <f>(Sales[[#This Row],[Unit_Price]]-Sales[[#This Row],[Discount]]*Sales[[#This Row],[Unit_Price]])</f>
        <v>1054.6457999999998</v>
      </c>
      <c r="P777" t="s">
        <v>26</v>
      </c>
      <c r="Q777" t="s">
        <v>21</v>
      </c>
      <c r="R777" t="s">
        <v>50</v>
      </c>
    </row>
    <row r="778" spans="1:18" x14ac:dyDescent="0.35">
      <c r="A778">
        <v>1046</v>
      </c>
      <c r="B778" s="1">
        <v>45119</v>
      </c>
      <c r="C778" s="1" t="str">
        <f>TEXT(Sales[[#This Row],[Sale_Date]],"YYYY")</f>
        <v>2023</v>
      </c>
      <c r="D778" s="1" t="str">
        <f>TEXT(Sales[[#This Row],[Sale_Date]],"MMMM")</f>
        <v>July</v>
      </c>
      <c r="E778" s="1" t="str">
        <f>TEXT(Sales[[#This Row],[Sale_Date]],"DDDD")</f>
        <v>Wednesday</v>
      </c>
      <c r="F778" t="s">
        <v>37</v>
      </c>
      <c r="G778" t="s">
        <v>14</v>
      </c>
      <c r="H778" s="2">
        <v>485.49</v>
      </c>
      <c r="I778">
        <v>17</v>
      </c>
      <c r="J778" t="s">
        <v>15</v>
      </c>
      <c r="K778" s="2">
        <v>3850.99</v>
      </c>
      <c r="L778" s="2">
        <v>4045.3399999999901</v>
      </c>
      <c r="M778" t="s">
        <v>16</v>
      </c>
      <c r="N778">
        <v>0.16</v>
      </c>
      <c r="O778" s="2">
        <f>(Sales[[#This Row],[Unit_Price]]-Sales[[#This Row],[Discount]]*Sales[[#This Row],[Unit_Price]])</f>
        <v>3398.0855999999917</v>
      </c>
      <c r="P778" t="s">
        <v>30</v>
      </c>
      <c r="Q778" t="s">
        <v>18</v>
      </c>
      <c r="R778" t="s">
        <v>39</v>
      </c>
    </row>
    <row r="779" spans="1:18" x14ac:dyDescent="0.35">
      <c r="A779">
        <v>1035</v>
      </c>
      <c r="B779" s="1">
        <v>44948</v>
      </c>
      <c r="C779" s="1" t="str">
        <f>TEXT(Sales[[#This Row],[Sale_Date]],"YYYY")</f>
        <v>2023</v>
      </c>
      <c r="D779" s="1" t="str">
        <f>TEXT(Sales[[#This Row],[Sale_Date]],"MMMM")</f>
        <v>January</v>
      </c>
      <c r="E779" s="1" t="str">
        <f>TEXT(Sales[[#This Row],[Sale_Date]],"DDDD")</f>
        <v>Sunday</v>
      </c>
      <c r="F779" t="s">
        <v>41</v>
      </c>
      <c r="G779" t="s">
        <v>14</v>
      </c>
      <c r="H779" s="2">
        <v>8387.48</v>
      </c>
      <c r="I779">
        <v>28</v>
      </c>
      <c r="J779" t="s">
        <v>15</v>
      </c>
      <c r="K779" s="2">
        <v>3771.38</v>
      </c>
      <c r="L779" s="2">
        <v>4234.92</v>
      </c>
      <c r="M779" t="s">
        <v>29</v>
      </c>
      <c r="N779">
        <v>0.28000000000000003</v>
      </c>
      <c r="O779" s="2">
        <f>(Sales[[#This Row],[Unit_Price]]-Sales[[#This Row],[Discount]]*Sales[[#This Row],[Unit_Price]])</f>
        <v>3049.1423999999997</v>
      </c>
      <c r="P779" t="s">
        <v>30</v>
      </c>
      <c r="Q779" t="s">
        <v>21</v>
      </c>
      <c r="R779" t="s">
        <v>48</v>
      </c>
    </row>
    <row r="780" spans="1:18" x14ac:dyDescent="0.35">
      <c r="A780">
        <v>1006</v>
      </c>
      <c r="B780" s="1">
        <v>45046</v>
      </c>
      <c r="C780" s="1" t="str">
        <f>TEXT(Sales[[#This Row],[Sale_Date]],"YYYY")</f>
        <v>2023</v>
      </c>
      <c r="D780" s="1" t="str">
        <f>TEXT(Sales[[#This Row],[Sale_Date]],"MMMM")</f>
        <v>April</v>
      </c>
      <c r="E780" s="1" t="str">
        <f>TEXT(Sales[[#This Row],[Sale_Date]],"DDDD")</f>
        <v>Sunday</v>
      </c>
      <c r="F780" t="s">
        <v>32</v>
      </c>
      <c r="G780" t="s">
        <v>14</v>
      </c>
      <c r="H780" s="2">
        <v>6233.31</v>
      </c>
      <c r="I780">
        <v>19</v>
      </c>
      <c r="J780" t="s">
        <v>28</v>
      </c>
      <c r="K780" s="2">
        <v>2962.41</v>
      </c>
      <c r="L780" s="2">
        <v>3218.8999999999901</v>
      </c>
      <c r="M780" t="s">
        <v>29</v>
      </c>
      <c r="N780">
        <v>0.28999999999999998</v>
      </c>
      <c r="O780" s="2">
        <f>(Sales[[#This Row],[Unit_Price]]-Sales[[#This Row],[Discount]]*Sales[[#This Row],[Unit_Price]])</f>
        <v>2285.418999999993</v>
      </c>
      <c r="P780" t="s">
        <v>17</v>
      </c>
      <c r="Q780" t="s">
        <v>21</v>
      </c>
      <c r="R780" t="s">
        <v>52</v>
      </c>
    </row>
    <row r="781" spans="1:18" x14ac:dyDescent="0.35">
      <c r="A781">
        <v>1082</v>
      </c>
      <c r="B781" s="1">
        <v>45136</v>
      </c>
      <c r="C781" s="1" t="str">
        <f>TEXT(Sales[[#This Row],[Sale_Date]],"YYYY")</f>
        <v>2023</v>
      </c>
      <c r="D781" s="1" t="str">
        <f>TEXT(Sales[[#This Row],[Sale_Date]],"MMMM")</f>
        <v>July</v>
      </c>
      <c r="E781" s="1" t="str">
        <f>TEXT(Sales[[#This Row],[Sale_Date]],"DDDD")</f>
        <v>Saturday</v>
      </c>
      <c r="F781" t="s">
        <v>37</v>
      </c>
      <c r="G781" t="s">
        <v>33</v>
      </c>
      <c r="H781" s="2">
        <v>5677.61</v>
      </c>
      <c r="I781">
        <v>46</v>
      </c>
      <c r="J781" t="s">
        <v>25</v>
      </c>
      <c r="K781" s="2">
        <v>1102.69</v>
      </c>
      <c r="L781" s="2">
        <v>1437.12</v>
      </c>
      <c r="M781" t="s">
        <v>29</v>
      </c>
      <c r="N781">
        <v>0.11</v>
      </c>
      <c r="O781" s="2">
        <f>(Sales[[#This Row],[Unit_Price]]-Sales[[#This Row],[Discount]]*Sales[[#This Row],[Unit_Price]])</f>
        <v>1279.0367999999999</v>
      </c>
      <c r="P781" t="s">
        <v>30</v>
      </c>
      <c r="Q781" t="s">
        <v>18</v>
      </c>
      <c r="R781" t="s">
        <v>47</v>
      </c>
    </row>
    <row r="782" spans="1:18" x14ac:dyDescent="0.35">
      <c r="A782">
        <v>1069</v>
      </c>
      <c r="B782" s="1">
        <v>45232</v>
      </c>
      <c r="C782" s="1" t="str">
        <f>TEXT(Sales[[#This Row],[Sale_Date]],"YYYY")</f>
        <v>2023</v>
      </c>
      <c r="D782" s="1" t="str">
        <f>TEXT(Sales[[#This Row],[Sale_Date]],"MMMM")</f>
        <v>November</v>
      </c>
      <c r="E782" s="1" t="str">
        <f>TEXT(Sales[[#This Row],[Sale_Date]],"DDDD")</f>
        <v>Thursday</v>
      </c>
      <c r="F782" t="s">
        <v>32</v>
      </c>
      <c r="G782" t="s">
        <v>14</v>
      </c>
      <c r="H782" s="2">
        <v>6283.68</v>
      </c>
      <c r="I782">
        <v>23</v>
      </c>
      <c r="J782" t="s">
        <v>15</v>
      </c>
      <c r="K782" s="2">
        <v>530.24</v>
      </c>
      <c r="L782" s="2">
        <v>987.41</v>
      </c>
      <c r="M782" t="s">
        <v>16</v>
      </c>
      <c r="N782">
        <v>0.23</v>
      </c>
      <c r="O782" s="2">
        <f>(Sales[[#This Row],[Unit_Price]]-Sales[[#This Row],[Discount]]*Sales[[#This Row],[Unit_Price]])</f>
        <v>760.3057</v>
      </c>
      <c r="P782" t="s">
        <v>30</v>
      </c>
      <c r="Q782" t="s">
        <v>18</v>
      </c>
      <c r="R782" t="s">
        <v>52</v>
      </c>
    </row>
    <row r="783" spans="1:18" x14ac:dyDescent="0.35">
      <c r="A783">
        <v>1047</v>
      </c>
      <c r="B783" s="1">
        <v>45196</v>
      </c>
      <c r="C783" s="1" t="str">
        <f>TEXT(Sales[[#This Row],[Sale_Date]],"YYYY")</f>
        <v>2023</v>
      </c>
      <c r="D783" s="1" t="str">
        <f>TEXT(Sales[[#This Row],[Sale_Date]],"MMMM")</f>
        <v>September</v>
      </c>
      <c r="E783" s="1" t="str">
        <f>TEXT(Sales[[#This Row],[Sale_Date]],"DDDD")</f>
        <v>Wednesday</v>
      </c>
      <c r="F783" t="s">
        <v>37</v>
      </c>
      <c r="G783" t="s">
        <v>14</v>
      </c>
      <c r="H783" s="2">
        <v>8657.89</v>
      </c>
      <c r="I783">
        <v>32</v>
      </c>
      <c r="J783" t="s">
        <v>34</v>
      </c>
      <c r="K783" s="2">
        <v>367.98</v>
      </c>
      <c r="L783" s="2">
        <v>806.14</v>
      </c>
      <c r="M783" t="s">
        <v>16</v>
      </c>
      <c r="N783">
        <v>0.22</v>
      </c>
      <c r="O783" s="2">
        <f>(Sales[[#This Row],[Unit_Price]]-Sales[[#This Row],[Discount]]*Sales[[#This Row],[Unit_Price]])</f>
        <v>628.78919999999994</v>
      </c>
      <c r="P783" t="s">
        <v>30</v>
      </c>
      <c r="Q783" t="s">
        <v>21</v>
      </c>
      <c r="R783" t="s">
        <v>39</v>
      </c>
    </row>
    <row r="784" spans="1:18" x14ac:dyDescent="0.35">
      <c r="A784">
        <v>1025</v>
      </c>
      <c r="B784" s="1">
        <v>45118</v>
      </c>
      <c r="C784" s="1" t="str">
        <f>TEXT(Sales[[#This Row],[Sale_Date]],"YYYY")</f>
        <v>2023</v>
      </c>
      <c r="D784" s="1" t="str">
        <f>TEXT(Sales[[#This Row],[Sale_Date]],"MMMM")</f>
        <v>July</v>
      </c>
      <c r="E784" s="1" t="str">
        <f>TEXT(Sales[[#This Row],[Sale_Date]],"DDDD")</f>
        <v>Tuesday</v>
      </c>
      <c r="F784" t="s">
        <v>32</v>
      </c>
      <c r="G784" t="s">
        <v>20</v>
      </c>
      <c r="H784" s="2">
        <v>5910.67</v>
      </c>
      <c r="I784">
        <v>40</v>
      </c>
      <c r="J784" t="s">
        <v>34</v>
      </c>
      <c r="K784" s="2">
        <v>2983.85</v>
      </c>
      <c r="L784" s="2">
        <v>3239.74</v>
      </c>
      <c r="M784" t="s">
        <v>29</v>
      </c>
      <c r="N784">
        <v>0.27</v>
      </c>
      <c r="O784" s="2">
        <f>(Sales[[#This Row],[Unit_Price]]-Sales[[#This Row],[Discount]]*Sales[[#This Row],[Unit_Price]])</f>
        <v>2365.0101999999997</v>
      </c>
      <c r="P784" t="s">
        <v>30</v>
      </c>
      <c r="Q784" t="s">
        <v>18</v>
      </c>
      <c r="R784" t="s">
        <v>36</v>
      </c>
    </row>
    <row r="785" spans="1:18" x14ac:dyDescent="0.35">
      <c r="A785">
        <v>1066</v>
      </c>
      <c r="B785" s="1">
        <v>45101</v>
      </c>
      <c r="C785" s="1" t="str">
        <f>TEXT(Sales[[#This Row],[Sale_Date]],"YYYY")</f>
        <v>2023</v>
      </c>
      <c r="D785" s="1" t="str">
        <f>TEXT(Sales[[#This Row],[Sale_Date]],"MMMM")</f>
        <v>June</v>
      </c>
      <c r="E785" s="1" t="str">
        <f>TEXT(Sales[[#This Row],[Sale_Date]],"DDDD")</f>
        <v>Saturday</v>
      </c>
      <c r="F785" t="s">
        <v>13</v>
      </c>
      <c r="G785" t="s">
        <v>20</v>
      </c>
      <c r="H785" s="2">
        <v>5851.41</v>
      </c>
      <c r="I785">
        <v>13</v>
      </c>
      <c r="J785" t="s">
        <v>15</v>
      </c>
      <c r="K785" s="2">
        <v>4133.92</v>
      </c>
      <c r="L785" s="2">
        <v>4358.37</v>
      </c>
      <c r="M785" t="s">
        <v>29</v>
      </c>
      <c r="N785">
        <v>0.13</v>
      </c>
      <c r="O785" s="2">
        <f>(Sales[[#This Row],[Unit_Price]]-Sales[[#This Row],[Discount]]*Sales[[#This Row],[Unit_Price]])</f>
        <v>3791.7819</v>
      </c>
      <c r="P785" t="s">
        <v>17</v>
      </c>
      <c r="Q785" t="s">
        <v>21</v>
      </c>
      <c r="R785" t="s">
        <v>22</v>
      </c>
    </row>
    <row r="786" spans="1:18" x14ac:dyDescent="0.35">
      <c r="A786">
        <v>1010</v>
      </c>
      <c r="B786" s="1">
        <v>45211</v>
      </c>
      <c r="C786" s="1" t="str">
        <f>TEXT(Sales[[#This Row],[Sale_Date]],"YYYY")</f>
        <v>2023</v>
      </c>
      <c r="D786" s="1" t="str">
        <f>TEXT(Sales[[#This Row],[Sale_Date]],"MMMM")</f>
        <v>October</v>
      </c>
      <c r="E786" s="1" t="str">
        <f>TEXT(Sales[[#This Row],[Sale_Date]],"DDDD")</f>
        <v>Thursday</v>
      </c>
      <c r="F786" t="s">
        <v>32</v>
      </c>
      <c r="G786" t="s">
        <v>14</v>
      </c>
      <c r="H786" s="2">
        <v>9907.7199999999993</v>
      </c>
      <c r="I786">
        <v>20</v>
      </c>
      <c r="J786" t="s">
        <v>15</v>
      </c>
      <c r="K786" s="2">
        <v>4298.74</v>
      </c>
      <c r="L786" s="2">
        <v>4475.1899999999996</v>
      </c>
      <c r="M786" t="s">
        <v>16</v>
      </c>
      <c r="N786">
        <v>0.16</v>
      </c>
      <c r="O786" s="2">
        <f>(Sales[[#This Row],[Unit_Price]]-Sales[[#This Row],[Discount]]*Sales[[#This Row],[Unit_Price]])</f>
        <v>3759.1595999999995</v>
      </c>
      <c r="P786" t="s">
        <v>17</v>
      </c>
      <c r="Q786" t="s">
        <v>18</v>
      </c>
      <c r="R786" t="s">
        <v>52</v>
      </c>
    </row>
    <row r="787" spans="1:18" x14ac:dyDescent="0.35">
      <c r="A787">
        <v>1056</v>
      </c>
      <c r="B787" s="1">
        <v>45130</v>
      </c>
      <c r="C787" s="1" t="str">
        <f>TEXT(Sales[[#This Row],[Sale_Date]],"YYYY")</f>
        <v>2023</v>
      </c>
      <c r="D787" s="1" t="str">
        <f>TEXT(Sales[[#This Row],[Sale_Date]],"MMMM")</f>
        <v>July</v>
      </c>
      <c r="E787" s="1" t="str">
        <f>TEXT(Sales[[#This Row],[Sale_Date]],"DDDD")</f>
        <v>Sunday</v>
      </c>
      <c r="F787" t="s">
        <v>13</v>
      </c>
      <c r="G787" t="s">
        <v>20</v>
      </c>
      <c r="H787" s="2">
        <v>7591.63</v>
      </c>
      <c r="I787">
        <v>35</v>
      </c>
      <c r="J787" t="s">
        <v>15</v>
      </c>
      <c r="K787" s="2">
        <v>2344.9299999999998</v>
      </c>
      <c r="L787" s="2">
        <v>2707.25</v>
      </c>
      <c r="M787" t="s">
        <v>29</v>
      </c>
      <c r="N787">
        <v>0.12</v>
      </c>
      <c r="O787" s="2">
        <f>(Sales[[#This Row],[Unit_Price]]-Sales[[#This Row],[Discount]]*Sales[[#This Row],[Unit_Price]])</f>
        <v>2382.38</v>
      </c>
      <c r="P787" t="s">
        <v>30</v>
      </c>
      <c r="Q787" t="s">
        <v>21</v>
      </c>
      <c r="R787" t="s">
        <v>22</v>
      </c>
    </row>
    <row r="788" spans="1:18" x14ac:dyDescent="0.35">
      <c r="A788">
        <v>1030</v>
      </c>
      <c r="B788" s="1">
        <v>45090</v>
      </c>
      <c r="C788" s="1" t="str">
        <f>TEXT(Sales[[#This Row],[Sale_Date]],"YYYY")</f>
        <v>2023</v>
      </c>
      <c r="D788" s="1" t="str">
        <f>TEXT(Sales[[#This Row],[Sale_Date]],"MMMM")</f>
        <v>June</v>
      </c>
      <c r="E788" s="1" t="str">
        <f>TEXT(Sales[[#This Row],[Sale_Date]],"DDDD")</f>
        <v>Tuesday</v>
      </c>
      <c r="F788" t="s">
        <v>32</v>
      </c>
      <c r="G788" t="s">
        <v>20</v>
      </c>
      <c r="H788" s="2">
        <v>4478.71</v>
      </c>
      <c r="I788">
        <v>5</v>
      </c>
      <c r="J788" t="s">
        <v>28</v>
      </c>
      <c r="K788" s="2">
        <v>3932.14</v>
      </c>
      <c r="L788" s="2">
        <v>4082.7599999999902</v>
      </c>
      <c r="M788" t="s">
        <v>29</v>
      </c>
      <c r="N788">
        <v>0.26</v>
      </c>
      <c r="O788" s="2">
        <f>(Sales[[#This Row],[Unit_Price]]-Sales[[#This Row],[Discount]]*Sales[[#This Row],[Unit_Price]])</f>
        <v>3021.2423999999928</v>
      </c>
      <c r="P788" t="s">
        <v>30</v>
      </c>
      <c r="Q788" t="s">
        <v>18</v>
      </c>
      <c r="R788" t="s">
        <v>36</v>
      </c>
    </row>
    <row r="789" spans="1:18" x14ac:dyDescent="0.35">
      <c r="A789">
        <v>1005</v>
      </c>
      <c r="B789" s="1">
        <v>45177</v>
      </c>
      <c r="C789" s="1" t="str">
        <f>TEXT(Sales[[#This Row],[Sale_Date]],"YYYY")</f>
        <v>2023</v>
      </c>
      <c r="D789" s="1" t="str">
        <f>TEXT(Sales[[#This Row],[Sale_Date]],"MMMM")</f>
        <v>September</v>
      </c>
      <c r="E789" s="1" t="str">
        <f>TEXT(Sales[[#This Row],[Sale_Date]],"DDDD")</f>
        <v>Friday</v>
      </c>
      <c r="F789" t="s">
        <v>37</v>
      </c>
      <c r="G789" t="s">
        <v>14</v>
      </c>
      <c r="H789" s="2">
        <v>7103.23</v>
      </c>
      <c r="I789">
        <v>9</v>
      </c>
      <c r="J789" t="s">
        <v>34</v>
      </c>
      <c r="K789" s="2">
        <v>4737.0600000000004</v>
      </c>
      <c r="L789" s="2">
        <v>4869.5</v>
      </c>
      <c r="M789" t="s">
        <v>29</v>
      </c>
      <c r="N789">
        <v>7.0000000000000007E-2</v>
      </c>
      <c r="O789" s="2">
        <f>(Sales[[#This Row],[Unit_Price]]-Sales[[#This Row],[Discount]]*Sales[[#This Row],[Unit_Price]])</f>
        <v>4528.6350000000002</v>
      </c>
      <c r="P789" t="s">
        <v>17</v>
      </c>
      <c r="Q789" t="s">
        <v>18</v>
      </c>
      <c r="R789" t="s">
        <v>39</v>
      </c>
    </row>
    <row r="790" spans="1:18" x14ac:dyDescent="0.35">
      <c r="A790">
        <v>1033</v>
      </c>
      <c r="B790" s="1">
        <v>45153</v>
      </c>
      <c r="C790" s="1" t="str">
        <f>TEXT(Sales[[#This Row],[Sale_Date]],"YYYY")</f>
        <v>2023</v>
      </c>
      <c r="D790" s="1" t="str">
        <f>TEXT(Sales[[#This Row],[Sale_Date]],"MMMM")</f>
        <v>August</v>
      </c>
      <c r="E790" s="1" t="str">
        <f>TEXT(Sales[[#This Row],[Sale_Date]],"DDDD")</f>
        <v>Tuesday</v>
      </c>
      <c r="F790" t="s">
        <v>37</v>
      </c>
      <c r="G790" t="s">
        <v>33</v>
      </c>
      <c r="H790" s="2">
        <v>3953.38</v>
      </c>
      <c r="I790">
        <v>29</v>
      </c>
      <c r="J790" t="s">
        <v>28</v>
      </c>
      <c r="K790" s="2">
        <v>1412.09</v>
      </c>
      <c r="L790" s="2">
        <v>1596.6499999999901</v>
      </c>
      <c r="M790" t="s">
        <v>16</v>
      </c>
      <c r="N790">
        <v>7.0000000000000007E-2</v>
      </c>
      <c r="O790" s="2">
        <f>(Sales[[#This Row],[Unit_Price]]-Sales[[#This Row],[Discount]]*Sales[[#This Row],[Unit_Price]])</f>
        <v>1484.8844999999908</v>
      </c>
      <c r="P790" t="s">
        <v>17</v>
      </c>
      <c r="Q790" t="s">
        <v>18</v>
      </c>
      <c r="R790" t="s">
        <v>47</v>
      </c>
    </row>
    <row r="791" spans="1:18" x14ac:dyDescent="0.35">
      <c r="A791">
        <v>1065</v>
      </c>
      <c r="B791" s="1">
        <v>44933</v>
      </c>
      <c r="C791" s="1" t="str">
        <f>TEXT(Sales[[#This Row],[Sale_Date]],"YYYY")</f>
        <v>2023</v>
      </c>
      <c r="D791" s="1" t="str">
        <f>TEXT(Sales[[#This Row],[Sale_Date]],"MMMM")</f>
        <v>January</v>
      </c>
      <c r="E791" s="1" t="str">
        <f>TEXT(Sales[[#This Row],[Sale_Date]],"DDDD")</f>
        <v>Saturday</v>
      </c>
      <c r="F791" t="s">
        <v>37</v>
      </c>
      <c r="G791" t="s">
        <v>14</v>
      </c>
      <c r="H791" s="2">
        <v>2365.87</v>
      </c>
      <c r="I791">
        <v>6</v>
      </c>
      <c r="J791" t="s">
        <v>28</v>
      </c>
      <c r="K791" s="2">
        <v>2019.9</v>
      </c>
      <c r="L791" s="2">
        <v>2116.7399999999998</v>
      </c>
      <c r="M791" t="s">
        <v>29</v>
      </c>
      <c r="N791">
        <v>0.11</v>
      </c>
      <c r="O791" s="2">
        <f>(Sales[[#This Row],[Unit_Price]]-Sales[[#This Row],[Discount]]*Sales[[#This Row],[Unit_Price]])</f>
        <v>1883.8985999999998</v>
      </c>
      <c r="P791" t="s">
        <v>30</v>
      </c>
      <c r="Q791" t="s">
        <v>18</v>
      </c>
      <c r="R791" t="s">
        <v>39</v>
      </c>
    </row>
    <row r="792" spans="1:18" x14ac:dyDescent="0.35">
      <c r="A792">
        <v>1018</v>
      </c>
      <c r="B792" s="1">
        <v>44955</v>
      </c>
      <c r="C792" s="1" t="str">
        <f>TEXT(Sales[[#This Row],[Sale_Date]],"YYYY")</f>
        <v>2023</v>
      </c>
      <c r="D792" s="1" t="str">
        <f>TEXT(Sales[[#This Row],[Sale_Date]],"MMMM")</f>
        <v>January</v>
      </c>
      <c r="E792" s="1" t="str">
        <f>TEXT(Sales[[#This Row],[Sale_Date]],"DDDD")</f>
        <v>Sunday</v>
      </c>
      <c r="F792" t="s">
        <v>23</v>
      </c>
      <c r="G792" t="s">
        <v>20</v>
      </c>
      <c r="H792" s="2">
        <v>6008.83</v>
      </c>
      <c r="I792">
        <v>25</v>
      </c>
      <c r="J792" t="s">
        <v>25</v>
      </c>
      <c r="K792" s="2">
        <v>4660.82</v>
      </c>
      <c r="L792" s="2">
        <v>5011.4299999999903</v>
      </c>
      <c r="M792" t="s">
        <v>29</v>
      </c>
      <c r="N792">
        <v>7.0000000000000007E-2</v>
      </c>
      <c r="O792" s="2">
        <f>(Sales[[#This Row],[Unit_Price]]-Sales[[#This Row],[Discount]]*Sales[[#This Row],[Unit_Price]])</f>
        <v>4660.6298999999908</v>
      </c>
      <c r="P792" t="s">
        <v>26</v>
      </c>
      <c r="Q792" t="s">
        <v>18</v>
      </c>
      <c r="R792" t="s">
        <v>46</v>
      </c>
    </row>
    <row r="793" spans="1:18" x14ac:dyDescent="0.35">
      <c r="A793">
        <v>1096</v>
      </c>
      <c r="B793" s="1">
        <v>44959</v>
      </c>
      <c r="C793" s="1" t="str">
        <f>TEXT(Sales[[#This Row],[Sale_Date]],"YYYY")</f>
        <v>2023</v>
      </c>
      <c r="D793" s="1" t="str">
        <f>TEXT(Sales[[#This Row],[Sale_Date]],"MMMM")</f>
        <v>February</v>
      </c>
      <c r="E793" s="1" t="str">
        <f>TEXT(Sales[[#This Row],[Sale_Date]],"DDDD")</f>
        <v>Thursday</v>
      </c>
      <c r="F793" t="s">
        <v>41</v>
      </c>
      <c r="G793" t="s">
        <v>33</v>
      </c>
      <c r="H793" s="2">
        <v>9289</v>
      </c>
      <c r="I793">
        <v>31</v>
      </c>
      <c r="J793" t="s">
        <v>34</v>
      </c>
      <c r="K793" s="2">
        <v>1724.24</v>
      </c>
      <c r="L793" s="2">
        <v>2036.2</v>
      </c>
      <c r="M793" t="s">
        <v>29</v>
      </c>
      <c r="N793">
        <v>0.17</v>
      </c>
      <c r="O793" s="2">
        <f>(Sales[[#This Row],[Unit_Price]]-Sales[[#This Row],[Discount]]*Sales[[#This Row],[Unit_Price]])</f>
        <v>1690.046</v>
      </c>
      <c r="P793" t="s">
        <v>17</v>
      </c>
      <c r="Q793" t="s">
        <v>18</v>
      </c>
      <c r="R793" t="s">
        <v>51</v>
      </c>
    </row>
    <row r="794" spans="1:18" x14ac:dyDescent="0.35">
      <c r="A794">
        <v>1049</v>
      </c>
      <c r="B794" s="1">
        <v>45060</v>
      </c>
      <c r="C794" s="1" t="str">
        <f>TEXT(Sales[[#This Row],[Sale_Date]],"YYYY")</f>
        <v>2023</v>
      </c>
      <c r="D794" s="1" t="str">
        <f>TEXT(Sales[[#This Row],[Sale_Date]],"MMMM")</f>
        <v>May</v>
      </c>
      <c r="E794" s="1" t="str">
        <f>TEXT(Sales[[#This Row],[Sale_Date]],"DDDD")</f>
        <v>Sunday</v>
      </c>
      <c r="F794" t="s">
        <v>37</v>
      </c>
      <c r="G794" t="s">
        <v>24</v>
      </c>
      <c r="H794" s="2">
        <v>9298.48</v>
      </c>
      <c r="I794">
        <v>22</v>
      </c>
      <c r="J794" t="s">
        <v>34</v>
      </c>
      <c r="K794" s="2">
        <v>4573.6899999999996</v>
      </c>
      <c r="L794" s="2">
        <v>4820.2999999999902</v>
      </c>
      <c r="M794" t="s">
        <v>29</v>
      </c>
      <c r="N794">
        <v>0.04</v>
      </c>
      <c r="O794" s="2">
        <f>(Sales[[#This Row],[Unit_Price]]-Sales[[#This Row],[Discount]]*Sales[[#This Row],[Unit_Price]])</f>
        <v>4627.4879999999903</v>
      </c>
      <c r="P794" t="s">
        <v>17</v>
      </c>
      <c r="Q794" t="s">
        <v>18</v>
      </c>
      <c r="R794" t="s">
        <v>38</v>
      </c>
    </row>
    <row r="795" spans="1:18" x14ac:dyDescent="0.35">
      <c r="A795">
        <v>1011</v>
      </c>
      <c r="B795" s="1">
        <v>45005</v>
      </c>
      <c r="C795" s="1" t="str">
        <f>TEXT(Sales[[#This Row],[Sale_Date]],"YYYY")</f>
        <v>2023</v>
      </c>
      <c r="D795" s="1" t="str">
        <f>TEXT(Sales[[#This Row],[Sale_Date]],"MMMM")</f>
        <v>March</v>
      </c>
      <c r="E795" s="1" t="str">
        <f>TEXT(Sales[[#This Row],[Sale_Date]],"DDDD")</f>
        <v>Monday</v>
      </c>
      <c r="F795" t="s">
        <v>13</v>
      </c>
      <c r="G795" t="s">
        <v>33</v>
      </c>
      <c r="H795" s="2">
        <v>3484.86</v>
      </c>
      <c r="I795">
        <v>2</v>
      </c>
      <c r="J795" t="s">
        <v>15</v>
      </c>
      <c r="K795" s="2">
        <v>4906.17</v>
      </c>
      <c r="L795" s="2">
        <v>5107.43</v>
      </c>
      <c r="M795" t="s">
        <v>16</v>
      </c>
      <c r="N795">
        <v>0.1</v>
      </c>
      <c r="O795" s="2">
        <f>(Sales[[#This Row],[Unit_Price]]-Sales[[#This Row],[Discount]]*Sales[[#This Row],[Unit_Price]])</f>
        <v>4596.6869999999999</v>
      </c>
      <c r="P795" t="s">
        <v>17</v>
      </c>
      <c r="Q795" t="s">
        <v>18</v>
      </c>
      <c r="R795" t="s">
        <v>45</v>
      </c>
    </row>
    <row r="796" spans="1:18" x14ac:dyDescent="0.35">
      <c r="A796">
        <v>1085</v>
      </c>
      <c r="B796" s="1">
        <v>44984</v>
      </c>
      <c r="C796" s="1" t="str">
        <f>TEXT(Sales[[#This Row],[Sale_Date]],"YYYY")</f>
        <v>2023</v>
      </c>
      <c r="D796" s="1" t="str">
        <f>TEXT(Sales[[#This Row],[Sale_Date]],"MMMM")</f>
        <v>February</v>
      </c>
      <c r="E796" s="1" t="str">
        <f>TEXT(Sales[[#This Row],[Sale_Date]],"DDDD")</f>
        <v>Monday</v>
      </c>
      <c r="F796" t="s">
        <v>37</v>
      </c>
      <c r="G796" t="s">
        <v>20</v>
      </c>
      <c r="H796" s="2">
        <v>5324.01</v>
      </c>
      <c r="I796">
        <v>45</v>
      </c>
      <c r="J796" t="s">
        <v>15</v>
      </c>
      <c r="K796" s="2">
        <v>3325.96</v>
      </c>
      <c r="L796" s="2">
        <v>3781.4</v>
      </c>
      <c r="M796" t="s">
        <v>16</v>
      </c>
      <c r="N796">
        <v>0.27</v>
      </c>
      <c r="O796" s="2">
        <f>(Sales[[#This Row],[Unit_Price]]-Sales[[#This Row],[Discount]]*Sales[[#This Row],[Unit_Price]])</f>
        <v>2760.422</v>
      </c>
      <c r="P796" t="s">
        <v>30</v>
      </c>
      <c r="Q796" t="s">
        <v>18</v>
      </c>
      <c r="R796" t="s">
        <v>40</v>
      </c>
    </row>
    <row r="797" spans="1:18" x14ac:dyDescent="0.35">
      <c r="A797">
        <v>1026</v>
      </c>
      <c r="B797" s="1">
        <v>44952</v>
      </c>
      <c r="C797" s="1" t="str">
        <f>TEXT(Sales[[#This Row],[Sale_Date]],"YYYY")</f>
        <v>2023</v>
      </c>
      <c r="D797" s="1" t="str">
        <f>TEXT(Sales[[#This Row],[Sale_Date]],"MMMM")</f>
        <v>January</v>
      </c>
      <c r="E797" s="1" t="str">
        <f>TEXT(Sales[[#This Row],[Sale_Date]],"DDDD")</f>
        <v>Thursday</v>
      </c>
      <c r="F797" t="s">
        <v>23</v>
      </c>
      <c r="G797" t="s">
        <v>33</v>
      </c>
      <c r="H797" s="2">
        <v>2195.1999999999998</v>
      </c>
      <c r="I797">
        <v>5</v>
      </c>
      <c r="J797" t="s">
        <v>25</v>
      </c>
      <c r="K797" s="2">
        <v>4093.61</v>
      </c>
      <c r="L797" s="2">
        <v>4117.88</v>
      </c>
      <c r="M797" t="s">
        <v>16</v>
      </c>
      <c r="N797">
        <v>0.12</v>
      </c>
      <c r="O797" s="2">
        <f>(Sales[[#This Row],[Unit_Price]]-Sales[[#This Row],[Discount]]*Sales[[#This Row],[Unit_Price]])</f>
        <v>3623.7344000000003</v>
      </c>
      <c r="P797" t="s">
        <v>30</v>
      </c>
      <c r="Q797" t="s">
        <v>21</v>
      </c>
      <c r="R797" t="s">
        <v>49</v>
      </c>
    </row>
    <row r="798" spans="1:18" x14ac:dyDescent="0.35">
      <c r="A798">
        <v>1063</v>
      </c>
      <c r="B798" s="1">
        <v>45152</v>
      </c>
      <c r="C798" s="1" t="str">
        <f>TEXT(Sales[[#This Row],[Sale_Date]],"YYYY")</f>
        <v>2023</v>
      </c>
      <c r="D798" s="1" t="str">
        <f>TEXT(Sales[[#This Row],[Sale_Date]],"MMMM")</f>
        <v>August</v>
      </c>
      <c r="E798" s="1" t="str">
        <f>TEXT(Sales[[#This Row],[Sale_Date]],"DDDD")</f>
        <v>Monday</v>
      </c>
      <c r="F798" t="s">
        <v>13</v>
      </c>
      <c r="G798" t="s">
        <v>14</v>
      </c>
      <c r="H798" s="2">
        <v>9956.75</v>
      </c>
      <c r="I798">
        <v>27</v>
      </c>
      <c r="J798" t="s">
        <v>28</v>
      </c>
      <c r="K798" s="2">
        <v>3760.25</v>
      </c>
      <c r="L798" s="2">
        <v>4147.1099999999997</v>
      </c>
      <c r="M798" t="s">
        <v>29</v>
      </c>
      <c r="N798">
        <v>0.22</v>
      </c>
      <c r="O798" s="2">
        <f>(Sales[[#This Row],[Unit_Price]]-Sales[[#This Row],[Discount]]*Sales[[#This Row],[Unit_Price]])</f>
        <v>3234.7457999999997</v>
      </c>
      <c r="P798" t="s">
        <v>17</v>
      </c>
      <c r="Q798" t="s">
        <v>18</v>
      </c>
      <c r="R798" t="s">
        <v>19</v>
      </c>
    </row>
    <row r="799" spans="1:18" x14ac:dyDescent="0.35">
      <c r="A799">
        <v>1089</v>
      </c>
      <c r="B799" s="1">
        <v>45211</v>
      </c>
      <c r="C799" s="1" t="str">
        <f>TEXT(Sales[[#This Row],[Sale_Date]],"YYYY")</f>
        <v>2023</v>
      </c>
      <c r="D799" s="1" t="str">
        <f>TEXT(Sales[[#This Row],[Sale_Date]],"MMMM")</f>
        <v>October</v>
      </c>
      <c r="E799" s="1" t="str">
        <f>TEXT(Sales[[#This Row],[Sale_Date]],"DDDD")</f>
        <v>Thursday</v>
      </c>
      <c r="F799" t="s">
        <v>23</v>
      </c>
      <c r="G799" t="s">
        <v>24</v>
      </c>
      <c r="H799" s="2">
        <v>9813.07</v>
      </c>
      <c r="I799">
        <v>25</v>
      </c>
      <c r="J799" t="s">
        <v>15</v>
      </c>
      <c r="K799" s="2">
        <v>3512.69</v>
      </c>
      <c r="L799" s="2">
        <v>3964.63</v>
      </c>
      <c r="M799" t="s">
        <v>16</v>
      </c>
      <c r="N799">
        <v>0.03</v>
      </c>
      <c r="O799" s="2">
        <f>(Sales[[#This Row],[Unit_Price]]-Sales[[#This Row],[Discount]]*Sales[[#This Row],[Unit_Price]])</f>
        <v>3845.6911</v>
      </c>
      <c r="P799" t="s">
        <v>30</v>
      </c>
      <c r="Q799" t="s">
        <v>21</v>
      </c>
      <c r="R799" t="s">
        <v>27</v>
      </c>
    </row>
    <row r="800" spans="1:18" x14ac:dyDescent="0.35">
      <c r="A800">
        <v>1086</v>
      </c>
      <c r="B800" s="1">
        <v>44930</v>
      </c>
      <c r="C800" s="1" t="str">
        <f>TEXT(Sales[[#This Row],[Sale_Date]],"YYYY")</f>
        <v>2023</v>
      </c>
      <c r="D800" s="1" t="str">
        <f>TEXT(Sales[[#This Row],[Sale_Date]],"MMMM")</f>
        <v>January</v>
      </c>
      <c r="E800" s="1" t="str">
        <f>TEXT(Sales[[#This Row],[Sale_Date]],"DDDD")</f>
        <v>Wednesday</v>
      </c>
      <c r="F800" t="s">
        <v>13</v>
      </c>
      <c r="G800" t="s">
        <v>24</v>
      </c>
      <c r="H800" s="2">
        <v>6530.14</v>
      </c>
      <c r="I800">
        <v>8</v>
      </c>
      <c r="J800" t="s">
        <v>15</v>
      </c>
      <c r="K800" s="2">
        <v>1569.31</v>
      </c>
      <c r="L800" s="2">
        <v>1798.02</v>
      </c>
      <c r="M800" t="s">
        <v>29</v>
      </c>
      <c r="N800">
        <v>7.0000000000000007E-2</v>
      </c>
      <c r="O800" s="2">
        <f>(Sales[[#This Row],[Unit_Price]]-Sales[[#This Row],[Discount]]*Sales[[#This Row],[Unit_Price]])</f>
        <v>1672.1586</v>
      </c>
      <c r="P800" t="s">
        <v>30</v>
      </c>
      <c r="Q800" t="s">
        <v>18</v>
      </c>
      <c r="R800" t="s">
        <v>31</v>
      </c>
    </row>
    <row r="801" spans="1:18" x14ac:dyDescent="0.35">
      <c r="A801">
        <v>1059</v>
      </c>
      <c r="B801" s="1">
        <v>45025</v>
      </c>
      <c r="C801" s="1" t="str">
        <f>TEXT(Sales[[#This Row],[Sale_Date]],"YYYY")</f>
        <v>2023</v>
      </c>
      <c r="D801" s="1" t="str">
        <f>TEXT(Sales[[#This Row],[Sale_Date]],"MMMM")</f>
        <v>April</v>
      </c>
      <c r="E801" s="1" t="str">
        <f>TEXT(Sales[[#This Row],[Sale_Date]],"DDDD")</f>
        <v>Sunday</v>
      </c>
      <c r="F801" t="s">
        <v>32</v>
      </c>
      <c r="G801" t="s">
        <v>24</v>
      </c>
      <c r="H801" s="2">
        <v>8063.7</v>
      </c>
      <c r="I801">
        <v>1</v>
      </c>
      <c r="J801" t="s">
        <v>34</v>
      </c>
      <c r="K801" s="2">
        <v>332.62</v>
      </c>
      <c r="L801" s="2">
        <v>612.46</v>
      </c>
      <c r="M801" t="s">
        <v>16</v>
      </c>
      <c r="N801">
        <v>0.24</v>
      </c>
      <c r="O801" s="2">
        <f>(Sales[[#This Row],[Unit_Price]]-Sales[[#This Row],[Discount]]*Sales[[#This Row],[Unit_Price]])</f>
        <v>465.46960000000001</v>
      </c>
      <c r="P801" t="s">
        <v>17</v>
      </c>
      <c r="Q801" t="s">
        <v>21</v>
      </c>
      <c r="R801" t="s">
        <v>43</v>
      </c>
    </row>
    <row r="802" spans="1:18" x14ac:dyDescent="0.35">
      <c r="A802">
        <v>1027</v>
      </c>
      <c r="B802" s="1">
        <v>44965</v>
      </c>
      <c r="C802" s="1" t="str">
        <f>TEXT(Sales[[#This Row],[Sale_Date]],"YYYY")</f>
        <v>2023</v>
      </c>
      <c r="D802" s="1" t="str">
        <f>TEXT(Sales[[#This Row],[Sale_Date]],"MMMM")</f>
        <v>February</v>
      </c>
      <c r="E802" s="1" t="str">
        <f>TEXT(Sales[[#This Row],[Sale_Date]],"DDDD")</f>
        <v>Wednesday</v>
      </c>
      <c r="F802" t="s">
        <v>41</v>
      </c>
      <c r="G802" t="s">
        <v>20</v>
      </c>
      <c r="H802" s="2">
        <v>7179.49</v>
      </c>
      <c r="I802">
        <v>20</v>
      </c>
      <c r="J802" t="s">
        <v>34</v>
      </c>
      <c r="K802" s="2">
        <v>1748.11</v>
      </c>
      <c r="L802" s="2">
        <v>2220.9</v>
      </c>
      <c r="M802" t="s">
        <v>29</v>
      </c>
      <c r="N802">
        <v>0.23</v>
      </c>
      <c r="O802" s="2">
        <f>(Sales[[#This Row],[Unit_Price]]-Sales[[#This Row],[Discount]]*Sales[[#This Row],[Unit_Price]])</f>
        <v>1710.0930000000001</v>
      </c>
      <c r="P802" t="s">
        <v>30</v>
      </c>
      <c r="Q802" t="s">
        <v>21</v>
      </c>
      <c r="R802" t="s">
        <v>50</v>
      </c>
    </row>
    <row r="803" spans="1:18" x14ac:dyDescent="0.35">
      <c r="A803">
        <v>1049</v>
      </c>
      <c r="B803" s="1">
        <v>45197</v>
      </c>
      <c r="C803" s="1" t="str">
        <f>TEXT(Sales[[#This Row],[Sale_Date]],"YYYY")</f>
        <v>2023</v>
      </c>
      <c r="D803" s="1" t="str">
        <f>TEXT(Sales[[#This Row],[Sale_Date]],"MMMM")</f>
        <v>September</v>
      </c>
      <c r="E803" s="1" t="str">
        <f>TEXT(Sales[[#This Row],[Sale_Date]],"DDDD")</f>
        <v>Thursday</v>
      </c>
      <c r="F803" t="s">
        <v>41</v>
      </c>
      <c r="G803" t="s">
        <v>20</v>
      </c>
      <c r="H803" s="2">
        <v>5972.27</v>
      </c>
      <c r="I803">
        <v>44</v>
      </c>
      <c r="J803" t="s">
        <v>15</v>
      </c>
      <c r="K803" s="2">
        <v>3351.33</v>
      </c>
      <c r="L803" s="2">
        <v>3465.35</v>
      </c>
      <c r="M803" t="s">
        <v>16</v>
      </c>
      <c r="N803">
        <v>0.12</v>
      </c>
      <c r="O803" s="2">
        <f>(Sales[[#This Row],[Unit_Price]]-Sales[[#This Row],[Discount]]*Sales[[#This Row],[Unit_Price]])</f>
        <v>3049.5079999999998</v>
      </c>
      <c r="P803" t="s">
        <v>26</v>
      </c>
      <c r="Q803" t="s">
        <v>18</v>
      </c>
      <c r="R803" t="s">
        <v>50</v>
      </c>
    </row>
    <row r="804" spans="1:18" x14ac:dyDescent="0.35">
      <c r="A804">
        <v>1077</v>
      </c>
      <c r="B804" s="1">
        <v>45211</v>
      </c>
      <c r="C804" s="1" t="str">
        <f>TEXT(Sales[[#This Row],[Sale_Date]],"YYYY")</f>
        <v>2023</v>
      </c>
      <c r="D804" s="1" t="str">
        <f>TEXT(Sales[[#This Row],[Sale_Date]],"MMMM")</f>
        <v>October</v>
      </c>
      <c r="E804" s="1" t="str">
        <f>TEXT(Sales[[#This Row],[Sale_Date]],"DDDD")</f>
        <v>Thursday</v>
      </c>
      <c r="F804" t="s">
        <v>23</v>
      </c>
      <c r="G804" t="s">
        <v>24</v>
      </c>
      <c r="H804" s="2">
        <v>628.15</v>
      </c>
      <c r="I804">
        <v>23</v>
      </c>
      <c r="J804" t="s">
        <v>34</v>
      </c>
      <c r="K804" s="2">
        <v>557.52</v>
      </c>
      <c r="L804" s="2">
        <v>822.39</v>
      </c>
      <c r="M804" t="s">
        <v>16</v>
      </c>
      <c r="N804">
        <v>0.28999999999999998</v>
      </c>
      <c r="O804" s="2">
        <f>(Sales[[#This Row],[Unit_Price]]-Sales[[#This Row],[Discount]]*Sales[[#This Row],[Unit_Price]])</f>
        <v>583.89689999999996</v>
      </c>
      <c r="P804" t="s">
        <v>30</v>
      </c>
      <c r="Q804" t="s">
        <v>18</v>
      </c>
      <c r="R804" t="s">
        <v>27</v>
      </c>
    </row>
    <row r="805" spans="1:18" x14ac:dyDescent="0.35">
      <c r="A805">
        <v>1033</v>
      </c>
      <c r="B805" s="1">
        <v>45083</v>
      </c>
      <c r="C805" s="1" t="str">
        <f>TEXT(Sales[[#This Row],[Sale_Date]],"YYYY")</f>
        <v>2023</v>
      </c>
      <c r="D805" s="1" t="str">
        <f>TEXT(Sales[[#This Row],[Sale_Date]],"MMMM")</f>
        <v>June</v>
      </c>
      <c r="E805" s="1" t="str">
        <f>TEXT(Sales[[#This Row],[Sale_Date]],"DDDD")</f>
        <v>Tuesday</v>
      </c>
      <c r="F805" t="s">
        <v>41</v>
      </c>
      <c r="G805" t="s">
        <v>33</v>
      </c>
      <c r="H805" s="2">
        <v>4602.17</v>
      </c>
      <c r="I805">
        <v>32</v>
      </c>
      <c r="J805" t="s">
        <v>25</v>
      </c>
      <c r="K805" s="2">
        <v>108.99</v>
      </c>
      <c r="L805" s="2">
        <v>351.6</v>
      </c>
      <c r="M805" t="s">
        <v>16</v>
      </c>
      <c r="N805">
        <v>0.27</v>
      </c>
      <c r="O805" s="2">
        <f>(Sales[[#This Row],[Unit_Price]]-Sales[[#This Row],[Discount]]*Sales[[#This Row],[Unit_Price]])</f>
        <v>256.66800000000001</v>
      </c>
      <c r="P805" t="s">
        <v>30</v>
      </c>
      <c r="Q805" t="s">
        <v>21</v>
      </c>
      <c r="R805" t="s">
        <v>51</v>
      </c>
    </row>
    <row r="806" spans="1:18" x14ac:dyDescent="0.35">
      <c r="A806">
        <v>1098</v>
      </c>
      <c r="B806" s="1">
        <v>45001</v>
      </c>
      <c r="C806" s="1" t="str">
        <f>TEXT(Sales[[#This Row],[Sale_Date]],"YYYY")</f>
        <v>2023</v>
      </c>
      <c r="D806" s="1" t="str">
        <f>TEXT(Sales[[#This Row],[Sale_Date]],"MMMM")</f>
        <v>March</v>
      </c>
      <c r="E806" s="1" t="str">
        <f>TEXT(Sales[[#This Row],[Sale_Date]],"DDDD")</f>
        <v>Thursday</v>
      </c>
      <c r="F806" t="s">
        <v>23</v>
      </c>
      <c r="G806" t="s">
        <v>24</v>
      </c>
      <c r="H806" s="2">
        <v>6780.38</v>
      </c>
      <c r="I806">
        <v>11</v>
      </c>
      <c r="J806" t="s">
        <v>15</v>
      </c>
      <c r="K806" s="2">
        <v>741.48</v>
      </c>
      <c r="L806" s="2">
        <v>878.09</v>
      </c>
      <c r="M806" t="s">
        <v>29</v>
      </c>
      <c r="N806">
        <v>0.28999999999999998</v>
      </c>
      <c r="O806" s="2">
        <f>(Sales[[#This Row],[Unit_Price]]-Sales[[#This Row],[Discount]]*Sales[[#This Row],[Unit_Price]])</f>
        <v>623.44389999999999</v>
      </c>
      <c r="P806" t="s">
        <v>17</v>
      </c>
      <c r="Q806" t="s">
        <v>21</v>
      </c>
      <c r="R806" t="s">
        <v>27</v>
      </c>
    </row>
    <row r="807" spans="1:18" x14ac:dyDescent="0.35">
      <c r="A807">
        <v>1099</v>
      </c>
      <c r="B807" s="1">
        <v>45214</v>
      </c>
      <c r="C807" s="1" t="str">
        <f>TEXT(Sales[[#This Row],[Sale_Date]],"YYYY")</f>
        <v>2023</v>
      </c>
      <c r="D807" s="1" t="str">
        <f>TEXT(Sales[[#This Row],[Sale_Date]],"MMMM")</f>
        <v>October</v>
      </c>
      <c r="E807" s="1" t="str">
        <f>TEXT(Sales[[#This Row],[Sale_Date]],"DDDD")</f>
        <v>Sunday</v>
      </c>
      <c r="F807" t="s">
        <v>23</v>
      </c>
      <c r="G807" t="s">
        <v>33</v>
      </c>
      <c r="H807" s="2">
        <v>6807.56</v>
      </c>
      <c r="I807">
        <v>39</v>
      </c>
      <c r="J807" t="s">
        <v>34</v>
      </c>
      <c r="K807" s="2">
        <v>3592.89</v>
      </c>
      <c r="L807" s="2">
        <v>4004</v>
      </c>
      <c r="M807" t="s">
        <v>29</v>
      </c>
      <c r="N807">
        <v>0.13</v>
      </c>
      <c r="O807" s="2">
        <f>(Sales[[#This Row],[Unit_Price]]-Sales[[#This Row],[Discount]]*Sales[[#This Row],[Unit_Price]])</f>
        <v>3483.48</v>
      </c>
      <c r="P807" t="s">
        <v>17</v>
      </c>
      <c r="Q807" t="s">
        <v>18</v>
      </c>
      <c r="R807" t="s">
        <v>49</v>
      </c>
    </row>
    <row r="808" spans="1:18" x14ac:dyDescent="0.35">
      <c r="A808">
        <v>1001</v>
      </c>
      <c r="B808" s="1">
        <v>45056</v>
      </c>
      <c r="C808" s="1" t="str">
        <f>TEXT(Sales[[#This Row],[Sale_Date]],"YYYY")</f>
        <v>2023</v>
      </c>
      <c r="D808" s="1" t="str">
        <f>TEXT(Sales[[#This Row],[Sale_Date]],"MMMM")</f>
        <v>May</v>
      </c>
      <c r="E808" s="1" t="str">
        <f>TEXT(Sales[[#This Row],[Sale_Date]],"DDDD")</f>
        <v>Wednesday</v>
      </c>
      <c r="F808" t="s">
        <v>23</v>
      </c>
      <c r="G808" t="s">
        <v>33</v>
      </c>
      <c r="H808" s="2">
        <v>3793.91</v>
      </c>
      <c r="I808">
        <v>47</v>
      </c>
      <c r="J808" t="s">
        <v>25</v>
      </c>
      <c r="K808" s="2">
        <v>4865.33</v>
      </c>
      <c r="L808" s="2">
        <v>5316.13</v>
      </c>
      <c r="M808" t="s">
        <v>29</v>
      </c>
      <c r="N808">
        <v>0.06</v>
      </c>
      <c r="O808" s="2">
        <f>(Sales[[#This Row],[Unit_Price]]-Sales[[#This Row],[Discount]]*Sales[[#This Row],[Unit_Price]])</f>
        <v>4997.1621999999998</v>
      </c>
      <c r="P808" t="s">
        <v>26</v>
      </c>
      <c r="Q808" t="s">
        <v>18</v>
      </c>
      <c r="R808" t="s">
        <v>49</v>
      </c>
    </row>
    <row r="809" spans="1:18" x14ac:dyDescent="0.35">
      <c r="A809">
        <v>1021</v>
      </c>
      <c r="B809" s="1">
        <v>45101</v>
      </c>
      <c r="C809" s="1" t="str">
        <f>TEXT(Sales[[#This Row],[Sale_Date]],"YYYY")</f>
        <v>2023</v>
      </c>
      <c r="D809" s="1" t="str">
        <f>TEXT(Sales[[#This Row],[Sale_Date]],"MMMM")</f>
        <v>June</v>
      </c>
      <c r="E809" s="1" t="str">
        <f>TEXT(Sales[[#This Row],[Sale_Date]],"DDDD")</f>
        <v>Saturday</v>
      </c>
      <c r="F809" t="s">
        <v>41</v>
      </c>
      <c r="G809" t="s">
        <v>20</v>
      </c>
      <c r="H809" s="2">
        <v>9422.75</v>
      </c>
      <c r="I809">
        <v>24</v>
      </c>
      <c r="J809" t="s">
        <v>34</v>
      </c>
      <c r="K809" s="2">
        <v>4916.17</v>
      </c>
      <c r="L809" s="2">
        <v>5309.32</v>
      </c>
      <c r="M809" t="s">
        <v>16</v>
      </c>
      <c r="N809">
        <v>0.19</v>
      </c>
      <c r="O809" s="2">
        <f>(Sales[[#This Row],[Unit_Price]]-Sales[[#This Row],[Discount]]*Sales[[#This Row],[Unit_Price]])</f>
        <v>4300.5491999999995</v>
      </c>
      <c r="P809" t="s">
        <v>30</v>
      </c>
      <c r="Q809" t="s">
        <v>18</v>
      </c>
      <c r="R809" t="s">
        <v>50</v>
      </c>
    </row>
    <row r="810" spans="1:18" x14ac:dyDescent="0.35">
      <c r="A810">
        <v>1055</v>
      </c>
      <c r="B810" s="1">
        <v>45010</v>
      </c>
      <c r="C810" s="1" t="str">
        <f>TEXT(Sales[[#This Row],[Sale_Date]],"YYYY")</f>
        <v>2023</v>
      </c>
      <c r="D810" s="1" t="str">
        <f>TEXT(Sales[[#This Row],[Sale_Date]],"MMMM")</f>
        <v>March</v>
      </c>
      <c r="E810" s="1" t="str">
        <f>TEXT(Sales[[#This Row],[Sale_Date]],"DDDD")</f>
        <v>Saturday</v>
      </c>
      <c r="F810" t="s">
        <v>23</v>
      </c>
      <c r="G810" t="s">
        <v>33</v>
      </c>
      <c r="H810" s="2">
        <v>1756.83</v>
      </c>
      <c r="I810">
        <v>11</v>
      </c>
      <c r="J810" t="s">
        <v>34</v>
      </c>
      <c r="K810" s="2">
        <v>2495.1999999999998</v>
      </c>
      <c r="L810" s="2">
        <v>2600.9299999999998</v>
      </c>
      <c r="M810" t="s">
        <v>29</v>
      </c>
      <c r="N810">
        <v>0.21</v>
      </c>
      <c r="O810" s="2">
        <f>(Sales[[#This Row],[Unit_Price]]-Sales[[#This Row],[Discount]]*Sales[[#This Row],[Unit_Price]])</f>
        <v>2054.7347</v>
      </c>
      <c r="P810" t="s">
        <v>26</v>
      </c>
      <c r="Q810" t="s">
        <v>21</v>
      </c>
      <c r="R810" t="s">
        <v>49</v>
      </c>
    </row>
    <row r="811" spans="1:18" x14ac:dyDescent="0.35">
      <c r="A811">
        <v>1006</v>
      </c>
      <c r="B811" s="1">
        <v>44948</v>
      </c>
      <c r="C811" s="1" t="str">
        <f>TEXT(Sales[[#This Row],[Sale_Date]],"YYYY")</f>
        <v>2023</v>
      </c>
      <c r="D811" s="1" t="str">
        <f>TEXT(Sales[[#This Row],[Sale_Date]],"MMMM")</f>
        <v>January</v>
      </c>
      <c r="E811" s="1" t="str">
        <f>TEXT(Sales[[#This Row],[Sale_Date]],"DDDD")</f>
        <v>Sunday</v>
      </c>
      <c r="F811" t="s">
        <v>41</v>
      </c>
      <c r="G811" t="s">
        <v>24</v>
      </c>
      <c r="H811" s="2">
        <v>5053.5600000000004</v>
      </c>
      <c r="I811">
        <v>29</v>
      </c>
      <c r="J811" t="s">
        <v>34</v>
      </c>
      <c r="K811" s="2">
        <v>4353.29</v>
      </c>
      <c r="L811" s="2">
        <v>4405.8</v>
      </c>
      <c r="M811" t="s">
        <v>29</v>
      </c>
      <c r="N811">
        <v>0.04</v>
      </c>
      <c r="O811" s="2">
        <f>(Sales[[#This Row],[Unit_Price]]-Sales[[#This Row],[Discount]]*Sales[[#This Row],[Unit_Price]])</f>
        <v>4229.5680000000002</v>
      </c>
      <c r="P811" t="s">
        <v>26</v>
      </c>
      <c r="Q811" t="s">
        <v>18</v>
      </c>
      <c r="R811" t="s">
        <v>42</v>
      </c>
    </row>
    <row r="812" spans="1:18" x14ac:dyDescent="0.35">
      <c r="A812">
        <v>1092</v>
      </c>
      <c r="B812" s="1">
        <v>44953</v>
      </c>
      <c r="C812" s="1" t="str">
        <f>TEXT(Sales[[#This Row],[Sale_Date]],"YYYY")</f>
        <v>2023</v>
      </c>
      <c r="D812" s="1" t="str">
        <f>TEXT(Sales[[#This Row],[Sale_Date]],"MMMM")</f>
        <v>January</v>
      </c>
      <c r="E812" s="1" t="str">
        <f>TEXT(Sales[[#This Row],[Sale_Date]],"DDDD")</f>
        <v>Friday</v>
      </c>
      <c r="F812" t="s">
        <v>23</v>
      </c>
      <c r="G812" t="s">
        <v>20</v>
      </c>
      <c r="H812" s="2">
        <v>6939.75</v>
      </c>
      <c r="I812">
        <v>26</v>
      </c>
      <c r="J812" t="s">
        <v>15</v>
      </c>
      <c r="K812" s="2">
        <v>3697.29</v>
      </c>
      <c r="L812" s="2">
        <v>4003.96</v>
      </c>
      <c r="M812" t="s">
        <v>29</v>
      </c>
      <c r="N812">
        <v>0.24</v>
      </c>
      <c r="O812" s="2">
        <f>(Sales[[#This Row],[Unit_Price]]-Sales[[#This Row],[Discount]]*Sales[[#This Row],[Unit_Price]])</f>
        <v>3043.0096000000003</v>
      </c>
      <c r="P812" t="s">
        <v>17</v>
      </c>
      <c r="Q812" t="s">
        <v>18</v>
      </c>
      <c r="R812" t="s">
        <v>46</v>
      </c>
    </row>
    <row r="813" spans="1:18" x14ac:dyDescent="0.35">
      <c r="A813">
        <v>1081</v>
      </c>
      <c r="B813" s="1">
        <v>45121</v>
      </c>
      <c r="C813" s="1" t="str">
        <f>TEXT(Sales[[#This Row],[Sale_Date]],"YYYY")</f>
        <v>2023</v>
      </c>
      <c r="D813" s="1" t="str">
        <f>TEXT(Sales[[#This Row],[Sale_Date]],"MMMM")</f>
        <v>July</v>
      </c>
      <c r="E813" s="1" t="str">
        <f>TEXT(Sales[[#This Row],[Sale_Date]],"DDDD")</f>
        <v>Friday</v>
      </c>
      <c r="F813" t="s">
        <v>37</v>
      </c>
      <c r="G813" t="s">
        <v>14</v>
      </c>
      <c r="H813" s="2">
        <v>7001.64</v>
      </c>
      <c r="I813">
        <v>16</v>
      </c>
      <c r="J813" t="s">
        <v>28</v>
      </c>
      <c r="K813" s="2">
        <v>2530.15</v>
      </c>
      <c r="L813" s="2">
        <v>2568.13</v>
      </c>
      <c r="M813" t="s">
        <v>29</v>
      </c>
      <c r="N813">
        <v>0.01</v>
      </c>
      <c r="O813" s="2">
        <f>(Sales[[#This Row],[Unit_Price]]-Sales[[#This Row],[Discount]]*Sales[[#This Row],[Unit_Price]])</f>
        <v>2542.4486999999999</v>
      </c>
      <c r="P813" t="s">
        <v>30</v>
      </c>
      <c r="Q813" t="s">
        <v>18</v>
      </c>
      <c r="R813" t="s">
        <v>39</v>
      </c>
    </row>
    <row r="814" spans="1:18" x14ac:dyDescent="0.35">
      <c r="A814">
        <v>1069</v>
      </c>
      <c r="B814" s="1">
        <v>45263</v>
      </c>
      <c r="C814" s="1" t="str">
        <f>TEXT(Sales[[#This Row],[Sale_Date]],"YYYY")</f>
        <v>2023</v>
      </c>
      <c r="D814" s="1" t="str">
        <f>TEXT(Sales[[#This Row],[Sale_Date]],"MMMM")</f>
        <v>December</v>
      </c>
      <c r="E814" s="1" t="str">
        <f>TEXT(Sales[[#This Row],[Sale_Date]],"DDDD")</f>
        <v>Sunday</v>
      </c>
      <c r="F814" t="s">
        <v>23</v>
      </c>
      <c r="G814" t="s">
        <v>14</v>
      </c>
      <c r="H814" s="2">
        <v>6521.53</v>
      </c>
      <c r="I814">
        <v>35</v>
      </c>
      <c r="J814" t="s">
        <v>34</v>
      </c>
      <c r="K814" s="2">
        <v>2885.16</v>
      </c>
      <c r="L814" s="2">
        <v>3224.8399999999901</v>
      </c>
      <c r="M814" t="s">
        <v>29</v>
      </c>
      <c r="N814">
        <v>0.14000000000000001</v>
      </c>
      <c r="O814" s="2">
        <f>(Sales[[#This Row],[Unit_Price]]-Sales[[#This Row],[Discount]]*Sales[[#This Row],[Unit_Price]])</f>
        <v>2773.3623999999913</v>
      </c>
      <c r="P814" t="s">
        <v>17</v>
      </c>
      <c r="Q814" t="s">
        <v>18</v>
      </c>
      <c r="R814" t="s">
        <v>44</v>
      </c>
    </row>
    <row r="815" spans="1:18" x14ac:dyDescent="0.35">
      <c r="A815">
        <v>1095</v>
      </c>
      <c r="B815" s="1">
        <v>45162</v>
      </c>
      <c r="C815" s="1" t="str">
        <f>TEXT(Sales[[#This Row],[Sale_Date]],"YYYY")</f>
        <v>2023</v>
      </c>
      <c r="D815" s="1" t="str">
        <f>TEXT(Sales[[#This Row],[Sale_Date]],"MMMM")</f>
        <v>August</v>
      </c>
      <c r="E815" s="1" t="str">
        <f>TEXT(Sales[[#This Row],[Sale_Date]],"DDDD")</f>
        <v>Thursday</v>
      </c>
      <c r="F815" t="s">
        <v>13</v>
      </c>
      <c r="G815" t="s">
        <v>20</v>
      </c>
      <c r="H815" s="2">
        <v>2825.35</v>
      </c>
      <c r="I815">
        <v>20</v>
      </c>
      <c r="J815" t="s">
        <v>25</v>
      </c>
      <c r="K815" s="2">
        <v>729.27</v>
      </c>
      <c r="L815" s="2">
        <v>999.18</v>
      </c>
      <c r="M815" t="s">
        <v>29</v>
      </c>
      <c r="N815">
        <v>0.1</v>
      </c>
      <c r="O815" s="2">
        <f>(Sales[[#This Row],[Unit_Price]]-Sales[[#This Row],[Discount]]*Sales[[#This Row],[Unit_Price]])</f>
        <v>899.26199999999994</v>
      </c>
      <c r="P815" t="s">
        <v>26</v>
      </c>
      <c r="Q815" t="s">
        <v>18</v>
      </c>
      <c r="R815" t="s">
        <v>22</v>
      </c>
    </row>
    <row r="816" spans="1:18" x14ac:dyDescent="0.35">
      <c r="A816">
        <v>1005</v>
      </c>
      <c r="B816" s="1">
        <v>45018</v>
      </c>
      <c r="C816" s="1" t="str">
        <f>TEXT(Sales[[#This Row],[Sale_Date]],"YYYY")</f>
        <v>2023</v>
      </c>
      <c r="D816" s="1" t="str">
        <f>TEXT(Sales[[#This Row],[Sale_Date]],"MMMM")</f>
        <v>April</v>
      </c>
      <c r="E816" s="1" t="str">
        <f>TEXT(Sales[[#This Row],[Sale_Date]],"DDDD")</f>
        <v>Sunday</v>
      </c>
      <c r="F816" t="s">
        <v>23</v>
      </c>
      <c r="G816" t="s">
        <v>24</v>
      </c>
      <c r="H816" s="2">
        <v>1646.45</v>
      </c>
      <c r="I816">
        <v>46</v>
      </c>
      <c r="J816" t="s">
        <v>15</v>
      </c>
      <c r="K816" s="2">
        <v>4691.42</v>
      </c>
      <c r="L816" s="2">
        <v>5026.1899999999996</v>
      </c>
      <c r="M816" t="s">
        <v>16</v>
      </c>
      <c r="N816">
        <v>0.22</v>
      </c>
      <c r="O816" s="2">
        <f>(Sales[[#This Row],[Unit_Price]]-Sales[[#This Row],[Discount]]*Sales[[#This Row],[Unit_Price]])</f>
        <v>3920.4281999999994</v>
      </c>
      <c r="P816" t="s">
        <v>26</v>
      </c>
      <c r="Q816" t="s">
        <v>21</v>
      </c>
      <c r="R816" t="s">
        <v>27</v>
      </c>
    </row>
    <row r="817" spans="1:18" x14ac:dyDescent="0.35">
      <c r="A817">
        <v>1003</v>
      </c>
      <c r="B817" s="1">
        <v>44947</v>
      </c>
      <c r="C817" s="1" t="str">
        <f>TEXT(Sales[[#This Row],[Sale_Date]],"YYYY")</f>
        <v>2023</v>
      </c>
      <c r="D817" s="1" t="str">
        <f>TEXT(Sales[[#This Row],[Sale_Date]],"MMMM")</f>
        <v>January</v>
      </c>
      <c r="E817" s="1" t="str">
        <f>TEXT(Sales[[#This Row],[Sale_Date]],"DDDD")</f>
        <v>Saturday</v>
      </c>
      <c r="F817" t="s">
        <v>32</v>
      </c>
      <c r="G817" t="s">
        <v>14</v>
      </c>
      <c r="H817" s="2">
        <v>6395.81</v>
      </c>
      <c r="I817">
        <v>3</v>
      </c>
      <c r="J817" t="s">
        <v>15</v>
      </c>
      <c r="K817" s="2">
        <v>1792.05</v>
      </c>
      <c r="L817" s="2">
        <v>2091.23</v>
      </c>
      <c r="M817" t="s">
        <v>16</v>
      </c>
      <c r="N817">
        <v>0.09</v>
      </c>
      <c r="O817" s="2">
        <f>(Sales[[#This Row],[Unit_Price]]-Sales[[#This Row],[Discount]]*Sales[[#This Row],[Unit_Price]])</f>
        <v>1903.0192999999999</v>
      </c>
      <c r="P817" t="s">
        <v>17</v>
      </c>
      <c r="Q817" t="s">
        <v>21</v>
      </c>
      <c r="R817" t="s">
        <v>52</v>
      </c>
    </row>
    <row r="818" spans="1:18" x14ac:dyDescent="0.35">
      <c r="A818">
        <v>1053</v>
      </c>
      <c r="B818" s="1">
        <v>45229</v>
      </c>
      <c r="C818" s="1" t="str">
        <f>TEXT(Sales[[#This Row],[Sale_Date]],"YYYY")</f>
        <v>2023</v>
      </c>
      <c r="D818" s="1" t="str">
        <f>TEXT(Sales[[#This Row],[Sale_Date]],"MMMM")</f>
        <v>October</v>
      </c>
      <c r="E818" s="1" t="str">
        <f>TEXT(Sales[[#This Row],[Sale_Date]],"DDDD")</f>
        <v>Monday</v>
      </c>
      <c r="F818" t="s">
        <v>23</v>
      </c>
      <c r="G818" t="s">
        <v>14</v>
      </c>
      <c r="H818" s="2">
        <v>6033.09</v>
      </c>
      <c r="I818">
        <v>1</v>
      </c>
      <c r="J818" t="s">
        <v>25</v>
      </c>
      <c r="K818" s="2">
        <v>2258.44</v>
      </c>
      <c r="L818" s="2">
        <v>2475.56</v>
      </c>
      <c r="M818" t="s">
        <v>29</v>
      </c>
      <c r="N818">
        <v>0.25</v>
      </c>
      <c r="O818" s="2">
        <f>(Sales[[#This Row],[Unit_Price]]-Sales[[#This Row],[Discount]]*Sales[[#This Row],[Unit_Price]])</f>
        <v>1856.67</v>
      </c>
      <c r="P818" t="s">
        <v>17</v>
      </c>
      <c r="Q818" t="s">
        <v>18</v>
      </c>
      <c r="R818" t="s">
        <v>44</v>
      </c>
    </row>
    <row r="819" spans="1:18" x14ac:dyDescent="0.35">
      <c r="A819">
        <v>1023</v>
      </c>
      <c r="B819" s="1">
        <v>45283</v>
      </c>
      <c r="C819" s="1" t="str">
        <f>TEXT(Sales[[#This Row],[Sale_Date]],"YYYY")</f>
        <v>2023</v>
      </c>
      <c r="D819" s="1" t="str">
        <f>TEXT(Sales[[#This Row],[Sale_Date]],"MMMM")</f>
        <v>December</v>
      </c>
      <c r="E819" s="1" t="str">
        <f>TEXT(Sales[[#This Row],[Sale_Date]],"DDDD")</f>
        <v>Saturday</v>
      </c>
      <c r="F819" t="s">
        <v>13</v>
      </c>
      <c r="G819" t="s">
        <v>33</v>
      </c>
      <c r="H819" s="2">
        <v>1875.62</v>
      </c>
      <c r="I819">
        <v>47</v>
      </c>
      <c r="J819" t="s">
        <v>34</v>
      </c>
      <c r="K819" s="2">
        <v>3374.72</v>
      </c>
      <c r="L819" s="2">
        <v>3483.1499999999901</v>
      </c>
      <c r="M819" t="s">
        <v>16</v>
      </c>
      <c r="N819">
        <v>0.18</v>
      </c>
      <c r="O819" s="2">
        <f>(Sales[[#This Row],[Unit_Price]]-Sales[[#This Row],[Discount]]*Sales[[#This Row],[Unit_Price]])</f>
        <v>2856.1829999999918</v>
      </c>
      <c r="P819" t="s">
        <v>17</v>
      </c>
      <c r="Q819" t="s">
        <v>18</v>
      </c>
      <c r="R819" t="s">
        <v>45</v>
      </c>
    </row>
    <row r="820" spans="1:18" x14ac:dyDescent="0.35">
      <c r="A820">
        <v>1053</v>
      </c>
      <c r="B820" s="1">
        <v>45010</v>
      </c>
      <c r="C820" s="1" t="str">
        <f>TEXT(Sales[[#This Row],[Sale_Date]],"YYYY")</f>
        <v>2023</v>
      </c>
      <c r="D820" s="1" t="str">
        <f>TEXT(Sales[[#This Row],[Sale_Date]],"MMMM")</f>
        <v>March</v>
      </c>
      <c r="E820" s="1" t="str">
        <f>TEXT(Sales[[#This Row],[Sale_Date]],"DDDD")</f>
        <v>Saturday</v>
      </c>
      <c r="F820" t="s">
        <v>13</v>
      </c>
      <c r="G820" t="s">
        <v>33</v>
      </c>
      <c r="H820" s="2">
        <v>7080.88</v>
      </c>
      <c r="I820">
        <v>1</v>
      </c>
      <c r="J820" t="s">
        <v>28</v>
      </c>
      <c r="K820" s="2">
        <v>1702.82</v>
      </c>
      <c r="L820" s="2">
        <v>1862.61</v>
      </c>
      <c r="M820" t="s">
        <v>16</v>
      </c>
      <c r="N820">
        <v>0.24</v>
      </c>
      <c r="O820" s="2">
        <f>(Sales[[#This Row],[Unit_Price]]-Sales[[#This Row],[Discount]]*Sales[[#This Row],[Unit_Price]])</f>
        <v>1415.5835999999999</v>
      </c>
      <c r="P820" t="s">
        <v>17</v>
      </c>
      <c r="Q820" t="s">
        <v>21</v>
      </c>
      <c r="R820" t="s">
        <v>45</v>
      </c>
    </row>
    <row r="821" spans="1:18" x14ac:dyDescent="0.35">
      <c r="A821">
        <v>1037</v>
      </c>
      <c r="B821" s="1">
        <v>45188</v>
      </c>
      <c r="C821" s="1" t="str">
        <f>TEXT(Sales[[#This Row],[Sale_Date]],"YYYY")</f>
        <v>2023</v>
      </c>
      <c r="D821" s="1" t="str">
        <f>TEXT(Sales[[#This Row],[Sale_Date]],"MMMM")</f>
        <v>September</v>
      </c>
      <c r="E821" s="1" t="str">
        <f>TEXT(Sales[[#This Row],[Sale_Date]],"DDDD")</f>
        <v>Tuesday</v>
      </c>
      <c r="F821" t="s">
        <v>41</v>
      </c>
      <c r="G821" t="s">
        <v>24</v>
      </c>
      <c r="H821" s="2">
        <v>4606.2</v>
      </c>
      <c r="I821">
        <v>17</v>
      </c>
      <c r="J821" t="s">
        <v>34</v>
      </c>
      <c r="K821" s="2">
        <v>1308.58</v>
      </c>
      <c r="L821" s="2">
        <v>1575.59</v>
      </c>
      <c r="M821" t="s">
        <v>29</v>
      </c>
      <c r="N821">
        <v>0.3</v>
      </c>
      <c r="O821" s="2">
        <f>(Sales[[#This Row],[Unit_Price]]-Sales[[#This Row],[Discount]]*Sales[[#This Row],[Unit_Price]])</f>
        <v>1102.913</v>
      </c>
      <c r="P821" t="s">
        <v>17</v>
      </c>
      <c r="Q821" t="s">
        <v>18</v>
      </c>
      <c r="R821" t="s">
        <v>42</v>
      </c>
    </row>
    <row r="822" spans="1:18" x14ac:dyDescent="0.35">
      <c r="A822">
        <v>1074</v>
      </c>
      <c r="B822" s="1">
        <v>45073</v>
      </c>
      <c r="C822" s="1" t="str">
        <f>TEXT(Sales[[#This Row],[Sale_Date]],"YYYY")</f>
        <v>2023</v>
      </c>
      <c r="D822" s="1" t="str">
        <f>TEXT(Sales[[#This Row],[Sale_Date]],"MMMM")</f>
        <v>May</v>
      </c>
      <c r="E822" s="1" t="str">
        <f>TEXT(Sales[[#This Row],[Sale_Date]],"DDDD")</f>
        <v>Saturday</v>
      </c>
      <c r="F822" t="s">
        <v>37</v>
      </c>
      <c r="G822" t="s">
        <v>20</v>
      </c>
      <c r="H822" s="2">
        <v>6710.83</v>
      </c>
      <c r="I822">
        <v>2</v>
      </c>
      <c r="J822" t="s">
        <v>25</v>
      </c>
      <c r="K822" s="2">
        <v>3173.69</v>
      </c>
      <c r="L822" s="2">
        <v>3503.11</v>
      </c>
      <c r="M822" t="s">
        <v>29</v>
      </c>
      <c r="N822">
        <v>0.2</v>
      </c>
      <c r="O822" s="2">
        <f>(Sales[[#This Row],[Unit_Price]]-Sales[[#This Row],[Discount]]*Sales[[#This Row],[Unit_Price]])</f>
        <v>2802.4880000000003</v>
      </c>
      <c r="P822" t="s">
        <v>26</v>
      </c>
      <c r="Q822" t="s">
        <v>21</v>
      </c>
      <c r="R822" t="s">
        <v>40</v>
      </c>
    </row>
    <row r="823" spans="1:18" x14ac:dyDescent="0.35">
      <c r="A823">
        <v>1074</v>
      </c>
      <c r="B823" s="1">
        <v>45183</v>
      </c>
      <c r="C823" s="1" t="str">
        <f>TEXT(Sales[[#This Row],[Sale_Date]],"YYYY")</f>
        <v>2023</v>
      </c>
      <c r="D823" s="1" t="str">
        <f>TEXT(Sales[[#This Row],[Sale_Date]],"MMMM")</f>
        <v>September</v>
      </c>
      <c r="E823" s="1" t="str">
        <f>TEXT(Sales[[#This Row],[Sale_Date]],"DDDD")</f>
        <v>Thursday</v>
      </c>
      <c r="F823" t="s">
        <v>23</v>
      </c>
      <c r="G823" t="s">
        <v>24</v>
      </c>
      <c r="H823" s="2">
        <v>8389.93</v>
      </c>
      <c r="I823">
        <v>29</v>
      </c>
      <c r="J823" t="s">
        <v>15</v>
      </c>
      <c r="K823" s="2">
        <v>173.67</v>
      </c>
      <c r="L823" s="2">
        <v>565.62</v>
      </c>
      <c r="M823" t="s">
        <v>16</v>
      </c>
      <c r="N823">
        <v>0.3</v>
      </c>
      <c r="O823" s="2">
        <f>(Sales[[#This Row],[Unit_Price]]-Sales[[#This Row],[Discount]]*Sales[[#This Row],[Unit_Price]])</f>
        <v>395.93399999999997</v>
      </c>
      <c r="P823" t="s">
        <v>17</v>
      </c>
      <c r="Q823" t="s">
        <v>18</v>
      </c>
      <c r="R823" t="s">
        <v>27</v>
      </c>
    </row>
    <row r="824" spans="1:18" x14ac:dyDescent="0.35">
      <c r="A824">
        <v>1083</v>
      </c>
      <c r="B824" s="1">
        <v>44984</v>
      </c>
      <c r="C824" s="1" t="str">
        <f>TEXT(Sales[[#This Row],[Sale_Date]],"YYYY")</f>
        <v>2023</v>
      </c>
      <c r="D824" s="1" t="str">
        <f>TEXT(Sales[[#This Row],[Sale_Date]],"MMMM")</f>
        <v>February</v>
      </c>
      <c r="E824" s="1" t="str">
        <f>TEXT(Sales[[#This Row],[Sale_Date]],"DDDD")</f>
        <v>Monday</v>
      </c>
      <c r="F824" t="s">
        <v>41</v>
      </c>
      <c r="G824" t="s">
        <v>20</v>
      </c>
      <c r="H824" s="2">
        <v>1780.31</v>
      </c>
      <c r="I824">
        <v>20</v>
      </c>
      <c r="J824" t="s">
        <v>28</v>
      </c>
      <c r="K824" s="2">
        <v>3617.59</v>
      </c>
      <c r="L824" s="2">
        <v>4003.5</v>
      </c>
      <c r="M824" t="s">
        <v>29</v>
      </c>
      <c r="N824">
        <v>0.01</v>
      </c>
      <c r="O824" s="2">
        <f>(Sales[[#This Row],[Unit_Price]]-Sales[[#This Row],[Discount]]*Sales[[#This Row],[Unit_Price]])</f>
        <v>3963.4650000000001</v>
      </c>
      <c r="P824" t="s">
        <v>30</v>
      </c>
      <c r="Q824" t="s">
        <v>21</v>
      </c>
      <c r="R824" t="s">
        <v>50</v>
      </c>
    </row>
    <row r="825" spans="1:18" x14ac:dyDescent="0.35">
      <c r="A825">
        <v>1017</v>
      </c>
      <c r="B825" s="1">
        <v>44941</v>
      </c>
      <c r="C825" s="1" t="str">
        <f>TEXT(Sales[[#This Row],[Sale_Date]],"YYYY")</f>
        <v>2023</v>
      </c>
      <c r="D825" s="1" t="str">
        <f>TEXT(Sales[[#This Row],[Sale_Date]],"MMMM")</f>
        <v>January</v>
      </c>
      <c r="E825" s="1" t="str">
        <f>TEXT(Sales[[#This Row],[Sale_Date]],"DDDD")</f>
        <v>Sunday</v>
      </c>
      <c r="F825" t="s">
        <v>37</v>
      </c>
      <c r="G825" t="s">
        <v>14</v>
      </c>
      <c r="H825" s="2">
        <v>289.52999999999997</v>
      </c>
      <c r="I825">
        <v>6</v>
      </c>
      <c r="J825" t="s">
        <v>15</v>
      </c>
      <c r="K825" s="2">
        <v>2594.42</v>
      </c>
      <c r="L825" s="2">
        <v>3081.04</v>
      </c>
      <c r="M825" t="s">
        <v>16</v>
      </c>
      <c r="N825">
        <v>0.1</v>
      </c>
      <c r="O825" s="2">
        <f>(Sales[[#This Row],[Unit_Price]]-Sales[[#This Row],[Discount]]*Sales[[#This Row],[Unit_Price]])</f>
        <v>2772.9359999999997</v>
      </c>
      <c r="P825" t="s">
        <v>26</v>
      </c>
      <c r="Q825" t="s">
        <v>21</v>
      </c>
      <c r="R825" t="s">
        <v>39</v>
      </c>
    </row>
    <row r="826" spans="1:18" x14ac:dyDescent="0.35">
      <c r="A826">
        <v>1085</v>
      </c>
      <c r="B826" s="1">
        <v>45088</v>
      </c>
      <c r="C826" s="1" t="str">
        <f>TEXT(Sales[[#This Row],[Sale_Date]],"YYYY")</f>
        <v>2023</v>
      </c>
      <c r="D826" s="1" t="str">
        <f>TEXT(Sales[[#This Row],[Sale_Date]],"MMMM")</f>
        <v>June</v>
      </c>
      <c r="E826" s="1" t="str">
        <f>TEXT(Sales[[#This Row],[Sale_Date]],"DDDD")</f>
        <v>Sunday</v>
      </c>
      <c r="F826" t="s">
        <v>23</v>
      </c>
      <c r="G826" t="s">
        <v>33</v>
      </c>
      <c r="H826" s="2">
        <v>7813.12</v>
      </c>
      <c r="I826">
        <v>8</v>
      </c>
      <c r="J826" t="s">
        <v>25</v>
      </c>
      <c r="K826" s="2">
        <v>3048.48</v>
      </c>
      <c r="L826" s="2">
        <v>3198.54</v>
      </c>
      <c r="M826" t="s">
        <v>16</v>
      </c>
      <c r="N826">
        <v>0.03</v>
      </c>
      <c r="O826" s="2">
        <f>(Sales[[#This Row],[Unit_Price]]-Sales[[#This Row],[Discount]]*Sales[[#This Row],[Unit_Price]])</f>
        <v>3102.5837999999999</v>
      </c>
      <c r="P826" t="s">
        <v>26</v>
      </c>
      <c r="Q826" t="s">
        <v>18</v>
      </c>
      <c r="R826" t="s">
        <v>49</v>
      </c>
    </row>
    <row r="827" spans="1:18" x14ac:dyDescent="0.35">
      <c r="A827">
        <v>1078</v>
      </c>
      <c r="B827" s="1">
        <v>45089</v>
      </c>
      <c r="C827" s="1" t="str">
        <f>TEXT(Sales[[#This Row],[Sale_Date]],"YYYY")</f>
        <v>2023</v>
      </c>
      <c r="D827" s="1" t="str">
        <f>TEXT(Sales[[#This Row],[Sale_Date]],"MMMM")</f>
        <v>June</v>
      </c>
      <c r="E827" s="1" t="str">
        <f>TEXT(Sales[[#This Row],[Sale_Date]],"DDDD")</f>
        <v>Monday</v>
      </c>
      <c r="F827" t="s">
        <v>32</v>
      </c>
      <c r="G827" t="s">
        <v>24</v>
      </c>
      <c r="H827" s="2">
        <v>6136</v>
      </c>
      <c r="I827">
        <v>29</v>
      </c>
      <c r="J827" t="s">
        <v>34</v>
      </c>
      <c r="K827" s="2">
        <v>3177.81</v>
      </c>
      <c r="L827" s="2">
        <v>3222.65</v>
      </c>
      <c r="M827" t="s">
        <v>16</v>
      </c>
      <c r="N827">
        <v>0.08</v>
      </c>
      <c r="O827" s="2">
        <f>(Sales[[#This Row],[Unit_Price]]-Sales[[#This Row],[Discount]]*Sales[[#This Row],[Unit_Price]])</f>
        <v>2964.8380000000002</v>
      </c>
      <c r="P827" t="s">
        <v>30</v>
      </c>
      <c r="Q827" t="s">
        <v>21</v>
      </c>
      <c r="R827" t="s">
        <v>43</v>
      </c>
    </row>
    <row r="828" spans="1:18" x14ac:dyDescent="0.35">
      <c r="A828">
        <v>1073</v>
      </c>
      <c r="B828" s="1">
        <v>45246</v>
      </c>
      <c r="C828" s="1" t="str">
        <f>TEXT(Sales[[#This Row],[Sale_Date]],"YYYY")</f>
        <v>2023</v>
      </c>
      <c r="D828" s="1" t="str">
        <f>TEXT(Sales[[#This Row],[Sale_Date]],"MMMM")</f>
        <v>November</v>
      </c>
      <c r="E828" s="1" t="str">
        <f>TEXT(Sales[[#This Row],[Sale_Date]],"DDDD")</f>
        <v>Thursday</v>
      </c>
      <c r="F828" t="s">
        <v>23</v>
      </c>
      <c r="G828" t="s">
        <v>24</v>
      </c>
      <c r="H828" s="2">
        <v>7026.43</v>
      </c>
      <c r="I828">
        <v>48</v>
      </c>
      <c r="J828" t="s">
        <v>28</v>
      </c>
      <c r="K828" s="2">
        <v>2658.9</v>
      </c>
      <c r="L828" s="2">
        <v>2838.27</v>
      </c>
      <c r="M828" t="s">
        <v>29</v>
      </c>
      <c r="N828">
        <v>0.25</v>
      </c>
      <c r="O828" s="2">
        <f>(Sales[[#This Row],[Unit_Price]]-Sales[[#This Row],[Discount]]*Sales[[#This Row],[Unit_Price]])</f>
        <v>2128.7024999999999</v>
      </c>
      <c r="P828" t="s">
        <v>30</v>
      </c>
      <c r="Q828" t="s">
        <v>18</v>
      </c>
      <c r="R828" t="s">
        <v>27</v>
      </c>
    </row>
    <row r="829" spans="1:18" x14ac:dyDescent="0.35">
      <c r="A829">
        <v>1001</v>
      </c>
      <c r="B829" s="1">
        <v>45207</v>
      </c>
      <c r="C829" s="1" t="str">
        <f>TEXT(Sales[[#This Row],[Sale_Date]],"YYYY")</f>
        <v>2023</v>
      </c>
      <c r="D829" s="1" t="str">
        <f>TEXT(Sales[[#This Row],[Sale_Date]],"MMMM")</f>
        <v>October</v>
      </c>
      <c r="E829" s="1" t="str">
        <f>TEXT(Sales[[#This Row],[Sale_Date]],"DDDD")</f>
        <v>Sunday</v>
      </c>
      <c r="F829" t="s">
        <v>13</v>
      </c>
      <c r="G829" t="s">
        <v>20</v>
      </c>
      <c r="H829" s="2">
        <v>8397.73</v>
      </c>
      <c r="I829">
        <v>33</v>
      </c>
      <c r="J829" t="s">
        <v>15</v>
      </c>
      <c r="K829" s="2">
        <v>2933.54</v>
      </c>
      <c r="L829" s="2">
        <v>3307.75</v>
      </c>
      <c r="M829" t="s">
        <v>16</v>
      </c>
      <c r="N829">
        <v>0.01</v>
      </c>
      <c r="O829" s="2">
        <f>(Sales[[#This Row],[Unit_Price]]-Sales[[#This Row],[Discount]]*Sales[[#This Row],[Unit_Price]])</f>
        <v>3274.6725000000001</v>
      </c>
      <c r="P829" t="s">
        <v>26</v>
      </c>
      <c r="Q829" t="s">
        <v>21</v>
      </c>
      <c r="R829" t="s">
        <v>22</v>
      </c>
    </row>
    <row r="830" spans="1:18" x14ac:dyDescent="0.35">
      <c r="A830">
        <v>1051</v>
      </c>
      <c r="B830" s="1">
        <v>45206</v>
      </c>
      <c r="C830" s="1" t="str">
        <f>TEXT(Sales[[#This Row],[Sale_Date]],"YYYY")</f>
        <v>2023</v>
      </c>
      <c r="D830" s="1" t="str">
        <f>TEXT(Sales[[#This Row],[Sale_Date]],"MMMM")</f>
        <v>October</v>
      </c>
      <c r="E830" s="1" t="str">
        <f>TEXT(Sales[[#This Row],[Sale_Date]],"DDDD")</f>
        <v>Saturday</v>
      </c>
      <c r="F830" t="s">
        <v>13</v>
      </c>
      <c r="G830" t="s">
        <v>20</v>
      </c>
      <c r="H830" s="2">
        <v>8047.83</v>
      </c>
      <c r="I830">
        <v>3</v>
      </c>
      <c r="J830" t="s">
        <v>15</v>
      </c>
      <c r="K830" s="2">
        <v>3434.75</v>
      </c>
      <c r="L830" s="2">
        <v>3659.42</v>
      </c>
      <c r="M830" t="s">
        <v>29</v>
      </c>
      <c r="N830">
        <v>0.16</v>
      </c>
      <c r="O830" s="2">
        <f>(Sales[[#This Row],[Unit_Price]]-Sales[[#This Row],[Discount]]*Sales[[#This Row],[Unit_Price]])</f>
        <v>3073.9128000000001</v>
      </c>
      <c r="P830" t="s">
        <v>17</v>
      </c>
      <c r="Q830" t="s">
        <v>18</v>
      </c>
      <c r="R830" t="s">
        <v>22</v>
      </c>
    </row>
    <row r="831" spans="1:18" x14ac:dyDescent="0.35">
      <c r="A831">
        <v>1045</v>
      </c>
      <c r="B831" s="1">
        <v>44938</v>
      </c>
      <c r="C831" s="1" t="str">
        <f>TEXT(Sales[[#This Row],[Sale_Date]],"YYYY")</f>
        <v>2023</v>
      </c>
      <c r="D831" s="1" t="str">
        <f>TEXT(Sales[[#This Row],[Sale_Date]],"MMMM")</f>
        <v>January</v>
      </c>
      <c r="E831" s="1" t="str">
        <f>TEXT(Sales[[#This Row],[Sale_Date]],"DDDD")</f>
        <v>Thursday</v>
      </c>
      <c r="F831" t="s">
        <v>32</v>
      </c>
      <c r="G831" t="s">
        <v>24</v>
      </c>
      <c r="H831" s="2">
        <v>9613.11</v>
      </c>
      <c r="I831">
        <v>35</v>
      </c>
      <c r="J831" t="s">
        <v>15</v>
      </c>
      <c r="K831" s="2">
        <v>3777.94</v>
      </c>
      <c r="L831" s="2">
        <v>4188.66</v>
      </c>
      <c r="M831" t="s">
        <v>29</v>
      </c>
      <c r="N831">
        <v>0.17</v>
      </c>
      <c r="O831" s="2">
        <f>(Sales[[#This Row],[Unit_Price]]-Sales[[#This Row],[Discount]]*Sales[[#This Row],[Unit_Price]])</f>
        <v>3476.5877999999998</v>
      </c>
      <c r="P831" t="s">
        <v>26</v>
      </c>
      <c r="Q831" t="s">
        <v>18</v>
      </c>
      <c r="R831" t="s">
        <v>43</v>
      </c>
    </row>
    <row r="832" spans="1:18" x14ac:dyDescent="0.35">
      <c r="A832">
        <v>1077</v>
      </c>
      <c r="B832" s="1">
        <v>45200</v>
      </c>
      <c r="C832" s="1" t="str">
        <f>TEXT(Sales[[#This Row],[Sale_Date]],"YYYY")</f>
        <v>2023</v>
      </c>
      <c r="D832" s="1" t="str">
        <f>TEXT(Sales[[#This Row],[Sale_Date]],"MMMM")</f>
        <v>October</v>
      </c>
      <c r="E832" s="1" t="str">
        <f>TEXT(Sales[[#This Row],[Sale_Date]],"DDDD")</f>
        <v>Sunday</v>
      </c>
      <c r="F832" t="s">
        <v>41</v>
      </c>
      <c r="G832" t="s">
        <v>20</v>
      </c>
      <c r="H832" s="2">
        <v>5405.76</v>
      </c>
      <c r="I832">
        <v>5</v>
      </c>
      <c r="J832" t="s">
        <v>34</v>
      </c>
      <c r="K832" s="2">
        <v>3650.89</v>
      </c>
      <c r="L832" s="2">
        <v>3930.06</v>
      </c>
      <c r="M832" t="s">
        <v>29</v>
      </c>
      <c r="N832">
        <v>0.17</v>
      </c>
      <c r="O832" s="2">
        <f>(Sales[[#This Row],[Unit_Price]]-Sales[[#This Row],[Discount]]*Sales[[#This Row],[Unit_Price]])</f>
        <v>3261.9497999999999</v>
      </c>
      <c r="P832" t="s">
        <v>26</v>
      </c>
      <c r="Q832" t="s">
        <v>18</v>
      </c>
      <c r="R832" t="s">
        <v>50</v>
      </c>
    </row>
    <row r="833" spans="1:18" x14ac:dyDescent="0.35">
      <c r="A833">
        <v>1004</v>
      </c>
      <c r="B833" s="1">
        <v>45197</v>
      </c>
      <c r="C833" s="1" t="str">
        <f>TEXT(Sales[[#This Row],[Sale_Date]],"YYYY")</f>
        <v>2023</v>
      </c>
      <c r="D833" s="1" t="str">
        <f>TEXT(Sales[[#This Row],[Sale_Date]],"MMMM")</f>
        <v>September</v>
      </c>
      <c r="E833" s="1" t="str">
        <f>TEXT(Sales[[#This Row],[Sale_Date]],"DDDD")</f>
        <v>Thursday</v>
      </c>
      <c r="F833" t="s">
        <v>37</v>
      </c>
      <c r="G833" t="s">
        <v>24</v>
      </c>
      <c r="H833" s="2">
        <v>4936.1099999999997</v>
      </c>
      <c r="I833">
        <v>27</v>
      </c>
      <c r="J833" t="s">
        <v>28</v>
      </c>
      <c r="K833" s="2">
        <v>4354.6000000000004</v>
      </c>
      <c r="L833" s="2">
        <v>4820.2</v>
      </c>
      <c r="M833" t="s">
        <v>29</v>
      </c>
      <c r="N833">
        <v>0.14000000000000001</v>
      </c>
      <c r="O833" s="2">
        <f>(Sales[[#This Row],[Unit_Price]]-Sales[[#This Row],[Discount]]*Sales[[#This Row],[Unit_Price]])</f>
        <v>4145.3719999999994</v>
      </c>
      <c r="P833" t="s">
        <v>30</v>
      </c>
      <c r="Q833" t="s">
        <v>21</v>
      </c>
      <c r="R833" t="s">
        <v>38</v>
      </c>
    </row>
    <row r="834" spans="1:18" x14ac:dyDescent="0.35">
      <c r="A834">
        <v>1062</v>
      </c>
      <c r="B834" s="1">
        <v>45134</v>
      </c>
      <c r="C834" s="1" t="str">
        <f>TEXT(Sales[[#This Row],[Sale_Date]],"YYYY")</f>
        <v>2023</v>
      </c>
      <c r="D834" s="1" t="str">
        <f>TEXT(Sales[[#This Row],[Sale_Date]],"MMMM")</f>
        <v>July</v>
      </c>
      <c r="E834" s="1" t="str">
        <f>TEXT(Sales[[#This Row],[Sale_Date]],"DDDD")</f>
        <v>Thursday</v>
      </c>
      <c r="F834" t="s">
        <v>23</v>
      </c>
      <c r="G834" t="s">
        <v>24</v>
      </c>
      <c r="H834" s="2">
        <v>4078.68</v>
      </c>
      <c r="I834">
        <v>44</v>
      </c>
      <c r="J834" t="s">
        <v>34</v>
      </c>
      <c r="K834" s="2">
        <v>987.74</v>
      </c>
      <c r="L834" s="2">
        <v>1462.19</v>
      </c>
      <c r="M834" t="s">
        <v>29</v>
      </c>
      <c r="N834">
        <v>0.24</v>
      </c>
      <c r="O834" s="2">
        <f>(Sales[[#This Row],[Unit_Price]]-Sales[[#This Row],[Discount]]*Sales[[#This Row],[Unit_Price]])</f>
        <v>1111.2644</v>
      </c>
      <c r="P834" t="s">
        <v>26</v>
      </c>
      <c r="Q834" t="s">
        <v>18</v>
      </c>
      <c r="R834" t="s">
        <v>27</v>
      </c>
    </row>
    <row r="835" spans="1:18" x14ac:dyDescent="0.35">
      <c r="A835">
        <v>1065</v>
      </c>
      <c r="B835" s="1">
        <v>44953</v>
      </c>
      <c r="C835" s="1" t="str">
        <f>TEXT(Sales[[#This Row],[Sale_Date]],"YYYY")</f>
        <v>2023</v>
      </c>
      <c r="D835" s="1" t="str">
        <f>TEXT(Sales[[#This Row],[Sale_Date]],"MMMM")</f>
        <v>January</v>
      </c>
      <c r="E835" s="1" t="str">
        <f>TEXT(Sales[[#This Row],[Sale_Date]],"DDDD")</f>
        <v>Friday</v>
      </c>
      <c r="F835" t="s">
        <v>13</v>
      </c>
      <c r="G835" t="s">
        <v>24</v>
      </c>
      <c r="H835" s="2">
        <v>1621.54</v>
      </c>
      <c r="I835">
        <v>12</v>
      </c>
      <c r="J835" t="s">
        <v>34</v>
      </c>
      <c r="K835" s="2">
        <v>2035.68</v>
      </c>
      <c r="L835" s="2">
        <v>2079.64</v>
      </c>
      <c r="M835" t="s">
        <v>16</v>
      </c>
      <c r="N835">
        <v>0.04</v>
      </c>
      <c r="O835" s="2">
        <f>(Sales[[#This Row],[Unit_Price]]-Sales[[#This Row],[Discount]]*Sales[[#This Row],[Unit_Price]])</f>
        <v>1996.4543999999999</v>
      </c>
      <c r="P835" t="s">
        <v>17</v>
      </c>
      <c r="Q835" t="s">
        <v>18</v>
      </c>
      <c r="R835" t="s">
        <v>31</v>
      </c>
    </row>
    <row r="836" spans="1:18" x14ac:dyDescent="0.35">
      <c r="A836">
        <v>1032</v>
      </c>
      <c r="B836" s="1">
        <v>44998</v>
      </c>
      <c r="C836" s="1" t="str">
        <f>TEXT(Sales[[#This Row],[Sale_Date]],"YYYY")</f>
        <v>2023</v>
      </c>
      <c r="D836" s="1" t="str">
        <f>TEXT(Sales[[#This Row],[Sale_Date]],"MMMM")</f>
        <v>March</v>
      </c>
      <c r="E836" s="1" t="str">
        <f>TEXT(Sales[[#This Row],[Sale_Date]],"DDDD")</f>
        <v>Monday</v>
      </c>
      <c r="F836" t="s">
        <v>41</v>
      </c>
      <c r="G836" t="s">
        <v>14</v>
      </c>
      <c r="H836" s="2">
        <v>5768.81</v>
      </c>
      <c r="I836">
        <v>20</v>
      </c>
      <c r="J836" t="s">
        <v>34</v>
      </c>
      <c r="K836" s="2">
        <v>4741.59</v>
      </c>
      <c r="L836" s="2">
        <v>4975.2299999999996</v>
      </c>
      <c r="M836" t="s">
        <v>29</v>
      </c>
      <c r="N836">
        <v>0.09</v>
      </c>
      <c r="O836" s="2">
        <f>(Sales[[#This Row],[Unit_Price]]-Sales[[#This Row],[Discount]]*Sales[[#This Row],[Unit_Price]])</f>
        <v>4527.4592999999995</v>
      </c>
      <c r="P836" t="s">
        <v>30</v>
      </c>
      <c r="Q836" t="s">
        <v>18</v>
      </c>
      <c r="R836" t="s">
        <v>48</v>
      </c>
    </row>
    <row r="837" spans="1:18" x14ac:dyDescent="0.35">
      <c r="A837">
        <v>1034</v>
      </c>
      <c r="B837" s="1">
        <v>44986</v>
      </c>
      <c r="C837" s="1" t="str">
        <f>TEXT(Sales[[#This Row],[Sale_Date]],"YYYY")</f>
        <v>2023</v>
      </c>
      <c r="D837" s="1" t="str">
        <f>TEXT(Sales[[#This Row],[Sale_Date]],"MMMM")</f>
        <v>March</v>
      </c>
      <c r="E837" s="1" t="str">
        <f>TEXT(Sales[[#This Row],[Sale_Date]],"DDDD")</f>
        <v>Wednesday</v>
      </c>
      <c r="F837" t="s">
        <v>32</v>
      </c>
      <c r="G837" t="s">
        <v>20</v>
      </c>
      <c r="H837" s="2">
        <v>2842.42</v>
      </c>
      <c r="I837">
        <v>45</v>
      </c>
      <c r="J837" t="s">
        <v>25</v>
      </c>
      <c r="K837" s="2">
        <v>2013.12</v>
      </c>
      <c r="L837" s="2">
        <v>2321.87</v>
      </c>
      <c r="M837" t="s">
        <v>29</v>
      </c>
      <c r="N837">
        <v>0.18</v>
      </c>
      <c r="O837" s="2">
        <f>(Sales[[#This Row],[Unit_Price]]-Sales[[#This Row],[Discount]]*Sales[[#This Row],[Unit_Price]])</f>
        <v>1903.9333999999999</v>
      </c>
      <c r="P837" t="s">
        <v>26</v>
      </c>
      <c r="Q837" t="s">
        <v>21</v>
      </c>
      <c r="R837" t="s">
        <v>36</v>
      </c>
    </row>
    <row r="838" spans="1:18" x14ac:dyDescent="0.35">
      <c r="A838">
        <v>1092</v>
      </c>
      <c r="B838" s="1">
        <v>45071</v>
      </c>
      <c r="C838" s="1" t="str">
        <f>TEXT(Sales[[#This Row],[Sale_Date]],"YYYY")</f>
        <v>2023</v>
      </c>
      <c r="D838" s="1" t="str">
        <f>TEXT(Sales[[#This Row],[Sale_Date]],"MMMM")</f>
        <v>May</v>
      </c>
      <c r="E838" s="1" t="str">
        <f>TEXT(Sales[[#This Row],[Sale_Date]],"DDDD")</f>
        <v>Thursday</v>
      </c>
      <c r="F838" t="s">
        <v>13</v>
      </c>
      <c r="G838" t="s">
        <v>33</v>
      </c>
      <c r="H838" s="2">
        <v>9220.94</v>
      </c>
      <c r="I838">
        <v>20</v>
      </c>
      <c r="J838" t="s">
        <v>25</v>
      </c>
      <c r="K838" s="2">
        <v>668.11</v>
      </c>
      <c r="L838" s="2">
        <v>803.49</v>
      </c>
      <c r="M838" t="s">
        <v>29</v>
      </c>
      <c r="N838">
        <v>0.21</v>
      </c>
      <c r="O838" s="2">
        <f>(Sales[[#This Row],[Unit_Price]]-Sales[[#This Row],[Discount]]*Sales[[#This Row],[Unit_Price]])</f>
        <v>634.75710000000004</v>
      </c>
      <c r="P838" t="s">
        <v>26</v>
      </c>
      <c r="Q838" t="s">
        <v>18</v>
      </c>
      <c r="R838" t="s">
        <v>45</v>
      </c>
    </row>
    <row r="839" spans="1:18" x14ac:dyDescent="0.35">
      <c r="A839">
        <v>1095</v>
      </c>
      <c r="B839" s="1">
        <v>45019</v>
      </c>
      <c r="C839" s="1" t="str">
        <f>TEXT(Sales[[#This Row],[Sale_Date]],"YYYY")</f>
        <v>2023</v>
      </c>
      <c r="D839" s="1" t="str">
        <f>TEXT(Sales[[#This Row],[Sale_Date]],"MMMM")</f>
        <v>April</v>
      </c>
      <c r="E839" s="1" t="str">
        <f>TEXT(Sales[[#This Row],[Sale_Date]],"DDDD")</f>
        <v>Monday</v>
      </c>
      <c r="F839" t="s">
        <v>32</v>
      </c>
      <c r="G839" t="s">
        <v>33</v>
      </c>
      <c r="H839" s="2">
        <v>5873.59</v>
      </c>
      <c r="I839">
        <v>9</v>
      </c>
      <c r="J839" t="s">
        <v>25</v>
      </c>
      <c r="K839" s="2">
        <v>2650.95</v>
      </c>
      <c r="L839" s="2">
        <v>2860.4199999999901</v>
      </c>
      <c r="M839" t="s">
        <v>29</v>
      </c>
      <c r="N839">
        <v>0.12</v>
      </c>
      <c r="O839" s="2">
        <f>(Sales[[#This Row],[Unit_Price]]-Sales[[#This Row],[Discount]]*Sales[[#This Row],[Unit_Price]])</f>
        <v>2517.1695999999911</v>
      </c>
      <c r="P839" t="s">
        <v>17</v>
      </c>
      <c r="Q839" t="s">
        <v>21</v>
      </c>
      <c r="R839" t="s">
        <v>35</v>
      </c>
    </row>
    <row r="840" spans="1:18" x14ac:dyDescent="0.35">
      <c r="A840">
        <v>1072</v>
      </c>
      <c r="B840" s="1">
        <v>45235</v>
      </c>
      <c r="C840" s="1" t="str">
        <f>TEXT(Sales[[#This Row],[Sale_Date]],"YYYY")</f>
        <v>2023</v>
      </c>
      <c r="D840" s="1" t="str">
        <f>TEXT(Sales[[#This Row],[Sale_Date]],"MMMM")</f>
        <v>November</v>
      </c>
      <c r="E840" s="1" t="str">
        <f>TEXT(Sales[[#This Row],[Sale_Date]],"DDDD")</f>
        <v>Sunday</v>
      </c>
      <c r="F840" t="s">
        <v>23</v>
      </c>
      <c r="G840" t="s">
        <v>20</v>
      </c>
      <c r="H840" s="2">
        <v>5969.12</v>
      </c>
      <c r="I840">
        <v>39</v>
      </c>
      <c r="J840" t="s">
        <v>28</v>
      </c>
      <c r="K840" s="2">
        <v>591.98</v>
      </c>
      <c r="L840" s="2">
        <v>934.04</v>
      </c>
      <c r="M840" t="s">
        <v>29</v>
      </c>
      <c r="N840">
        <v>0.26</v>
      </c>
      <c r="O840" s="2">
        <f>(Sales[[#This Row],[Unit_Price]]-Sales[[#This Row],[Discount]]*Sales[[#This Row],[Unit_Price]])</f>
        <v>691.18959999999993</v>
      </c>
      <c r="P840" t="s">
        <v>26</v>
      </c>
      <c r="Q840" t="s">
        <v>21</v>
      </c>
      <c r="R840" t="s">
        <v>46</v>
      </c>
    </row>
    <row r="841" spans="1:18" x14ac:dyDescent="0.35">
      <c r="A841">
        <v>1039</v>
      </c>
      <c r="B841" s="1">
        <v>44934</v>
      </c>
      <c r="C841" s="1" t="str">
        <f>TEXT(Sales[[#This Row],[Sale_Date]],"YYYY")</f>
        <v>2023</v>
      </c>
      <c r="D841" s="1" t="str">
        <f>TEXT(Sales[[#This Row],[Sale_Date]],"MMMM")</f>
        <v>January</v>
      </c>
      <c r="E841" s="1" t="str">
        <f>TEXT(Sales[[#This Row],[Sale_Date]],"DDDD")</f>
        <v>Sunday</v>
      </c>
      <c r="F841" t="s">
        <v>37</v>
      </c>
      <c r="G841" t="s">
        <v>24</v>
      </c>
      <c r="H841" s="2">
        <v>3613.75</v>
      </c>
      <c r="I841">
        <v>4</v>
      </c>
      <c r="J841" t="s">
        <v>34</v>
      </c>
      <c r="K841" s="2">
        <v>1054.1199999999999</v>
      </c>
      <c r="L841" s="2">
        <v>1175.21999999999</v>
      </c>
      <c r="M841" t="s">
        <v>16</v>
      </c>
      <c r="N841">
        <v>0.12</v>
      </c>
      <c r="O841" s="2">
        <f>(Sales[[#This Row],[Unit_Price]]-Sales[[#This Row],[Discount]]*Sales[[#This Row],[Unit_Price]])</f>
        <v>1034.1935999999912</v>
      </c>
      <c r="P841" t="s">
        <v>26</v>
      </c>
      <c r="Q841" t="s">
        <v>21</v>
      </c>
      <c r="R841" t="s">
        <v>38</v>
      </c>
    </row>
    <row r="842" spans="1:18" x14ac:dyDescent="0.35">
      <c r="A842">
        <v>1026</v>
      </c>
      <c r="B842" s="1">
        <v>45005</v>
      </c>
      <c r="C842" s="1" t="str">
        <f>TEXT(Sales[[#This Row],[Sale_Date]],"YYYY")</f>
        <v>2023</v>
      </c>
      <c r="D842" s="1" t="str">
        <f>TEXT(Sales[[#This Row],[Sale_Date]],"MMMM")</f>
        <v>March</v>
      </c>
      <c r="E842" s="1" t="str">
        <f>TEXT(Sales[[#This Row],[Sale_Date]],"DDDD")</f>
        <v>Monday</v>
      </c>
      <c r="F842" t="s">
        <v>13</v>
      </c>
      <c r="G842" t="s">
        <v>33</v>
      </c>
      <c r="H842" s="2">
        <v>614.69000000000005</v>
      </c>
      <c r="I842">
        <v>19</v>
      </c>
      <c r="J842" t="s">
        <v>34</v>
      </c>
      <c r="K842" s="2">
        <v>4991.68</v>
      </c>
      <c r="L842" s="2">
        <v>5296.65</v>
      </c>
      <c r="M842" t="s">
        <v>29</v>
      </c>
      <c r="N842">
        <v>0.12</v>
      </c>
      <c r="O842" s="2">
        <f>(Sales[[#This Row],[Unit_Price]]-Sales[[#This Row],[Discount]]*Sales[[#This Row],[Unit_Price]])</f>
        <v>4661.0519999999997</v>
      </c>
      <c r="P842" t="s">
        <v>26</v>
      </c>
      <c r="Q842" t="s">
        <v>18</v>
      </c>
      <c r="R842" t="s">
        <v>45</v>
      </c>
    </row>
    <row r="843" spans="1:18" x14ac:dyDescent="0.35">
      <c r="A843">
        <v>1034</v>
      </c>
      <c r="B843" s="1">
        <v>44953</v>
      </c>
      <c r="C843" s="1" t="str">
        <f>TEXT(Sales[[#This Row],[Sale_Date]],"YYYY")</f>
        <v>2023</v>
      </c>
      <c r="D843" s="1" t="str">
        <f>TEXT(Sales[[#This Row],[Sale_Date]],"MMMM")</f>
        <v>January</v>
      </c>
      <c r="E843" s="1" t="str">
        <f>TEXT(Sales[[#This Row],[Sale_Date]],"DDDD")</f>
        <v>Friday</v>
      </c>
      <c r="F843" t="s">
        <v>13</v>
      </c>
      <c r="G843" t="s">
        <v>33</v>
      </c>
      <c r="H843" s="2">
        <v>414.26</v>
      </c>
      <c r="I843">
        <v>38</v>
      </c>
      <c r="J843" t="s">
        <v>25</v>
      </c>
      <c r="K843" s="2">
        <v>2729.75</v>
      </c>
      <c r="L843" s="2">
        <v>3081.5</v>
      </c>
      <c r="M843" t="s">
        <v>29</v>
      </c>
      <c r="N843">
        <v>0.01</v>
      </c>
      <c r="O843" s="2">
        <f>(Sales[[#This Row],[Unit_Price]]-Sales[[#This Row],[Discount]]*Sales[[#This Row],[Unit_Price]])</f>
        <v>3050.6849999999999</v>
      </c>
      <c r="P843" t="s">
        <v>26</v>
      </c>
      <c r="Q843" t="s">
        <v>18</v>
      </c>
      <c r="R843" t="s">
        <v>45</v>
      </c>
    </row>
    <row r="844" spans="1:18" x14ac:dyDescent="0.35">
      <c r="A844">
        <v>1054</v>
      </c>
      <c r="B844" s="1">
        <v>45100</v>
      </c>
      <c r="C844" s="1" t="str">
        <f>TEXT(Sales[[#This Row],[Sale_Date]],"YYYY")</f>
        <v>2023</v>
      </c>
      <c r="D844" s="1" t="str">
        <f>TEXT(Sales[[#This Row],[Sale_Date]],"MMMM")</f>
        <v>June</v>
      </c>
      <c r="E844" s="1" t="str">
        <f>TEXT(Sales[[#This Row],[Sale_Date]],"DDDD")</f>
        <v>Friday</v>
      </c>
      <c r="F844" t="s">
        <v>23</v>
      </c>
      <c r="G844" t="s">
        <v>20</v>
      </c>
      <c r="H844" s="2">
        <v>4291.0200000000004</v>
      </c>
      <c r="I844">
        <v>27</v>
      </c>
      <c r="J844" t="s">
        <v>34</v>
      </c>
      <c r="K844" s="2">
        <v>1456.09</v>
      </c>
      <c r="L844" s="2">
        <v>1510.4299999999901</v>
      </c>
      <c r="M844" t="s">
        <v>16</v>
      </c>
      <c r="N844">
        <v>0.17</v>
      </c>
      <c r="O844" s="2">
        <f>(Sales[[#This Row],[Unit_Price]]-Sales[[#This Row],[Discount]]*Sales[[#This Row],[Unit_Price]])</f>
        <v>1253.6568999999918</v>
      </c>
      <c r="P844" t="s">
        <v>17</v>
      </c>
      <c r="Q844" t="s">
        <v>21</v>
      </c>
      <c r="R844" t="s">
        <v>46</v>
      </c>
    </row>
    <row r="845" spans="1:18" x14ac:dyDescent="0.35">
      <c r="A845">
        <v>1003</v>
      </c>
      <c r="B845" s="1">
        <v>44976</v>
      </c>
      <c r="C845" s="1" t="str">
        <f>TEXT(Sales[[#This Row],[Sale_Date]],"YYYY")</f>
        <v>2023</v>
      </c>
      <c r="D845" s="1" t="str">
        <f>TEXT(Sales[[#This Row],[Sale_Date]],"MMMM")</f>
        <v>February</v>
      </c>
      <c r="E845" s="1" t="str">
        <f>TEXT(Sales[[#This Row],[Sale_Date]],"DDDD")</f>
        <v>Sunday</v>
      </c>
      <c r="F845" t="s">
        <v>41</v>
      </c>
      <c r="G845" t="s">
        <v>33</v>
      </c>
      <c r="H845" s="2">
        <v>937.2</v>
      </c>
      <c r="I845">
        <v>45</v>
      </c>
      <c r="J845" t="s">
        <v>34</v>
      </c>
      <c r="K845" s="2">
        <v>4974.1400000000003</v>
      </c>
      <c r="L845" s="2">
        <v>5227.93</v>
      </c>
      <c r="M845" t="s">
        <v>29</v>
      </c>
      <c r="N845">
        <v>0.21</v>
      </c>
      <c r="O845" s="2">
        <f>(Sales[[#This Row],[Unit_Price]]-Sales[[#This Row],[Discount]]*Sales[[#This Row],[Unit_Price]])</f>
        <v>4130.0647000000008</v>
      </c>
      <c r="P845" t="s">
        <v>26</v>
      </c>
      <c r="Q845" t="s">
        <v>18</v>
      </c>
      <c r="R845" t="s">
        <v>51</v>
      </c>
    </row>
    <row r="846" spans="1:18" x14ac:dyDescent="0.35">
      <c r="A846">
        <v>1050</v>
      </c>
      <c r="B846" s="1">
        <v>45125</v>
      </c>
      <c r="C846" s="1" t="str">
        <f>TEXT(Sales[[#This Row],[Sale_Date]],"YYYY")</f>
        <v>2023</v>
      </c>
      <c r="D846" s="1" t="str">
        <f>TEXT(Sales[[#This Row],[Sale_Date]],"MMMM")</f>
        <v>July</v>
      </c>
      <c r="E846" s="1" t="str">
        <f>TEXT(Sales[[#This Row],[Sale_Date]],"DDDD")</f>
        <v>Tuesday</v>
      </c>
      <c r="F846" t="s">
        <v>37</v>
      </c>
      <c r="G846" t="s">
        <v>24</v>
      </c>
      <c r="H846" s="2">
        <v>6107.78</v>
      </c>
      <c r="I846">
        <v>43</v>
      </c>
      <c r="J846" t="s">
        <v>15</v>
      </c>
      <c r="K846" s="2">
        <v>4834.47</v>
      </c>
      <c r="L846" s="2">
        <v>4973.38</v>
      </c>
      <c r="M846" t="s">
        <v>16</v>
      </c>
      <c r="N846">
        <v>0.03</v>
      </c>
      <c r="O846" s="2">
        <f>(Sales[[#This Row],[Unit_Price]]-Sales[[#This Row],[Discount]]*Sales[[#This Row],[Unit_Price]])</f>
        <v>4824.1786000000002</v>
      </c>
      <c r="P846" t="s">
        <v>26</v>
      </c>
      <c r="Q846" t="s">
        <v>18</v>
      </c>
      <c r="R846" t="s">
        <v>38</v>
      </c>
    </row>
    <row r="847" spans="1:18" x14ac:dyDescent="0.35">
      <c r="A847">
        <v>1012</v>
      </c>
      <c r="B847" s="1">
        <v>45275</v>
      </c>
      <c r="C847" s="1" t="str">
        <f>TEXT(Sales[[#This Row],[Sale_Date]],"YYYY")</f>
        <v>2023</v>
      </c>
      <c r="D847" s="1" t="str">
        <f>TEXT(Sales[[#This Row],[Sale_Date]],"MMMM")</f>
        <v>December</v>
      </c>
      <c r="E847" s="1" t="str">
        <f>TEXT(Sales[[#This Row],[Sale_Date]],"DDDD")</f>
        <v>Friday</v>
      </c>
      <c r="F847" t="s">
        <v>13</v>
      </c>
      <c r="G847" t="s">
        <v>20</v>
      </c>
      <c r="H847" s="2">
        <v>8821.6299999999992</v>
      </c>
      <c r="I847">
        <v>13</v>
      </c>
      <c r="J847" t="s">
        <v>34</v>
      </c>
      <c r="K847" s="2">
        <v>2231.66</v>
      </c>
      <c r="L847" s="2">
        <v>2596.6099999999901</v>
      </c>
      <c r="M847" t="s">
        <v>16</v>
      </c>
      <c r="N847">
        <v>0.09</v>
      </c>
      <c r="O847" s="2">
        <f>(Sales[[#This Row],[Unit_Price]]-Sales[[#This Row],[Discount]]*Sales[[#This Row],[Unit_Price]])</f>
        <v>2362.9150999999911</v>
      </c>
      <c r="P847" t="s">
        <v>26</v>
      </c>
      <c r="Q847" t="s">
        <v>21</v>
      </c>
      <c r="R847" t="s">
        <v>22</v>
      </c>
    </row>
    <row r="848" spans="1:18" x14ac:dyDescent="0.35">
      <c r="A848">
        <v>1065</v>
      </c>
      <c r="B848" s="1">
        <v>45107</v>
      </c>
      <c r="C848" s="1" t="str">
        <f>TEXT(Sales[[#This Row],[Sale_Date]],"YYYY")</f>
        <v>2023</v>
      </c>
      <c r="D848" s="1" t="str">
        <f>TEXT(Sales[[#This Row],[Sale_Date]],"MMMM")</f>
        <v>June</v>
      </c>
      <c r="E848" s="1" t="str">
        <f>TEXT(Sales[[#This Row],[Sale_Date]],"DDDD")</f>
        <v>Friday</v>
      </c>
      <c r="F848" t="s">
        <v>37</v>
      </c>
      <c r="G848" t="s">
        <v>24</v>
      </c>
      <c r="H848" s="2">
        <v>8840.86</v>
      </c>
      <c r="I848">
        <v>13</v>
      </c>
      <c r="J848" t="s">
        <v>15</v>
      </c>
      <c r="K848" s="2">
        <v>1339</v>
      </c>
      <c r="L848" s="2">
        <v>1441.88</v>
      </c>
      <c r="M848" t="s">
        <v>16</v>
      </c>
      <c r="N848">
        <v>0.23</v>
      </c>
      <c r="O848" s="2">
        <f>(Sales[[#This Row],[Unit_Price]]-Sales[[#This Row],[Discount]]*Sales[[#This Row],[Unit_Price]])</f>
        <v>1110.2476000000001</v>
      </c>
      <c r="P848" t="s">
        <v>30</v>
      </c>
      <c r="Q848" t="s">
        <v>21</v>
      </c>
      <c r="R848" t="s">
        <v>38</v>
      </c>
    </row>
    <row r="849" spans="1:18" x14ac:dyDescent="0.35">
      <c r="A849">
        <v>1054</v>
      </c>
      <c r="B849" s="1">
        <v>44950</v>
      </c>
      <c r="C849" s="1" t="str">
        <f>TEXT(Sales[[#This Row],[Sale_Date]],"YYYY")</f>
        <v>2023</v>
      </c>
      <c r="D849" s="1" t="str">
        <f>TEXT(Sales[[#This Row],[Sale_Date]],"MMMM")</f>
        <v>January</v>
      </c>
      <c r="E849" s="1" t="str">
        <f>TEXT(Sales[[#This Row],[Sale_Date]],"DDDD")</f>
        <v>Tuesday</v>
      </c>
      <c r="F849" t="s">
        <v>13</v>
      </c>
      <c r="G849" t="s">
        <v>33</v>
      </c>
      <c r="H849" s="2">
        <v>6624.55</v>
      </c>
      <c r="I849">
        <v>22</v>
      </c>
      <c r="J849" t="s">
        <v>34</v>
      </c>
      <c r="K849" s="2">
        <v>4200.08</v>
      </c>
      <c r="L849" s="2">
        <v>4647.28</v>
      </c>
      <c r="M849" t="s">
        <v>16</v>
      </c>
      <c r="N849">
        <v>0.11</v>
      </c>
      <c r="O849" s="2">
        <f>(Sales[[#This Row],[Unit_Price]]-Sales[[#This Row],[Discount]]*Sales[[#This Row],[Unit_Price]])</f>
        <v>4136.0792000000001</v>
      </c>
      <c r="P849" t="s">
        <v>17</v>
      </c>
      <c r="Q849" t="s">
        <v>18</v>
      </c>
      <c r="R849" t="s">
        <v>45</v>
      </c>
    </row>
    <row r="850" spans="1:18" x14ac:dyDescent="0.35">
      <c r="A850">
        <v>1005</v>
      </c>
      <c r="B850" s="1">
        <v>45242</v>
      </c>
      <c r="C850" s="1" t="str">
        <f>TEXT(Sales[[#This Row],[Sale_Date]],"YYYY")</f>
        <v>2023</v>
      </c>
      <c r="D850" s="1" t="str">
        <f>TEXT(Sales[[#This Row],[Sale_Date]],"MMMM")</f>
        <v>November</v>
      </c>
      <c r="E850" s="1" t="str">
        <f>TEXT(Sales[[#This Row],[Sale_Date]],"DDDD")</f>
        <v>Sunday</v>
      </c>
      <c r="F850" t="s">
        <v>37</v>
      </c>
      <c r="G850" t="s">
        <v>33</v>
      </c>
      <c r="H850" s="2">
        <v>2191.1999999999998</v>
      </c>
      <c r="I850">
        <v>28</v>
      </c>
      <c r="J850" t="s">
        <v>28</v>
      </c>
      <c r="K850" s="2">
        <v>3592.32</v>
      </c>
      <c r="L850" s="2">
        <v>3813.48</v>
      </c>
      <c r="M850" t="s">
        <v>29</v>
      </c>
      <c r="N850">
        <v>7.0000000000000007E-2</v>
      </c>
      <c r="O850" s="2">
        <f>(Sales[[#This Row],[Unit_Price]]-Sales[[#This Row],[Discount]]*Sales[[#This Row],[Unit_Price]])</f>
        <v>3546.5364</v>
      </c>
      <c r="P850" t="s">
        <v>30</v>
      </c>
      <c r="Q850" t="s">
        <v>21</v>
      </c>
      <c r="R850" t="s">
        <v>47</v>
      </c>
    </row>
    <row r="851" spans="1:18" x14ac:dyDescent="0.35">
      <c r="A851">
        <v>1094</v>
      </c>
      <c r="B851" s="1">
        <v>44972</v>
      </c>
      <c r="C851" s="1" t="str">
        <f>TEXT(Sales[[#This Row],[Sale_Date]],"YYYY")</f>
        <v>2023</v>
      </c>
      <c r="D851" s="1" t="str">
        <f>TEXT(Sales[[#This Row],[Sale_Date]],"MMMM")</f>
        <v>February</v>
      </c>
      <c r="E851" s="1" t="str">
        <f>TEXT(Sales[[#This Row],[Sale_Date]],"DDDD")</f>
        <v>Wednesday</v>
      </c>
      <c r="F851" t="s">
        <v>32</v>
      </c>
      <c r="G851" t="s">
        <v>24</v>
      </c>
      <c r="H851" s="2">
        <v>8643.67</v>
      </c>
      <c r="I851">
        <v>47</v>
      </c>
      <c r="J851" t="s">
        <v>25</v>
      </c>
      <c r="K851" s="2">
        <v>3450.36</v>
      </c>
      <c r="L851" s="2">
        <v>3557.38</v>
      </c>
      <c r="M851" t="s">
        <v>29</v>
      </c>
      <c r="N851">
        <v>0.2</v>
      </c>
      <c r="O851" s="2">
        <f>(Sales[[#This Row],[Unit_Price]]-Sales[[#This Row],[Discount]]*Sales[[#This Row],[Unit_Price]])</f>
        <v>2845.904</v>
      </c>
      <c r="P851" t="s">
        <v>30</v>
      </c>
      <c r="Q851" t="s">
        <v>18</v>
      </c>
      <c r="R851" t="s">
        <v>43</v>
      </c>
    </row>
    <row r="852" spans="1:18" x14ac:dyDescent="0.35">
      <c r="A852">
        <v>1094</v>
      </c>
      <c r="B852" s="1">
        <v>44941</v>
      </c>
      <c r="C852" s="1" t="str">
        <f>TEXT(Sales[[#This Row],[Sale_Date]],"YYYY")</f>
        <v>2023</v>
      </c>
      <c r="D852" s="1" t="str">
        <f>TEXT(Sales[[#This Row],[Sale_Date]],"MMMM")</f>
        <v>January</v>
      </c>
      <c r="E852" s="1" t="str">
        <f>TEXT(Sales[[#This Row],[Sale_Date]],"DDDD")</f>
        <v>Sunday</v>
      </c>
      <c r="F852" t="s">
        <v>13</v>
      </c>
      <c r="G852" t="s">
        <v>14</v>
      </c>
      <c r="H852" s="2">
        <v>8872.33</v>
      </c>
      <c r="I852">
        <v>45</v>
      </c>
      <c r="J852" t="s">
        <v>15</v>
      </c>
      <c r="K852" s="2">
        <v>4470.91</v>
      </c>
      <c r="L852" s="2">
        <v>4695.54</v>
      </c>
      <c r="M852" t="s">
        <v>16</v>
      </c>
      <c r="N852">
        <v>0.06</v>
      </c>
      <c r="O852" s="2">
        <f>(Sales[[#This Row],[Unit_Price]]-Sales[[#This Row],[Discount]]*Sales[[#This Row],[Unit_Price]])</f>
        <v>4413.8076000000001</v>
      </c>
      <c r="P852" t="s">
        <v>17</v>
      </c>
      <c r="Q852" t="s">
        <v>21</v>
      </c>
      <c r="R852" t="s">
        <v>19</v>
      </c>
    </row>
    <row r="853" spans="1:18" x14ac:dyDescent="0.35">
      <c r="A853">
        <v>1057</v>
      </c>
      <c r="B853" s="1">
        <v>45079</v>
      </c>
      <c r="C853" s="1" t="str">
        <f>TEXT(Sales[[#This Row],[Sale_Date]],"YYYY")</f>
        <v>2023</v>
      </c>
      <c r="D853" s="1" t="str">
        <f>TEXT(Sales[[#This Row],[Sale_Date]],"MMMM")</f>
        <v>June</v>
      </c>
      <c r="E853" s="1" t="str">
        <f>TEXT(Sales[[#This Row],[Sale_Date]],"DDDD")</f>
        <v>Friday</v>
      </c>
      <c r="F853" t="s">
        <v>37</v>
      </c>
      <c r="G853" t="s">
        <v>33</v>
      </c>
      <c r="H853" s="2">
        <v>2046.87</v>
      </c>
      <c r="I853">
        <v>22</v>
      </c>
      <c r="J853" t="s">
        <v>25</v>
      </c>
      <c r="K853" s="2">
        <v>3462.61</v>
      </c>
      <c r="L853" s="2">
        <v>3672.89</v>
      </c>
      <c r="M853" t="s">
        <v>16</v>
      </c>
      <c r="N853">
        <v>0.27</v>
      </c>
      <c r="O853" s="2">
        <f>(Sales[[#This Row],[Unit_Price]]-Sales[[#This Row],[Discount]]*Sales[[#This Row],[Unit_Price]])</f>
        <v>2681.2096999999999</v>
      </c>
      <c r="P853" t="s">
        <v>30</v>
      </c>
      <c r="Q853" t="s">
        <v>18</v>
      </c>
      <c r="R853" t="s">
        <v>47</v>
      </c>
    </row>
    <row r="854" spans="1:18" x14ac:dyDescent="0.35">
      <c r="A854">
        <v>1017</v>
      </c>
      <c r="B854" s="1">
        <v>45148</v>
      </c>
      <c r="C854" s="1" t="str">
        <f>TEXT(Sales[[#This Row],[Sale_Date]],"YYYY")</f>
        <v>2023</v>
      </c>
      <c r="D854" s="1" t="str">
        <f>TEXT(Sales[[#This Row],[Sale_Date]],"MMMM")</f>
        <v>August</v>
      </c>
      <c r="E854" s="1" t="str">
        <f>TEXT(Sales[[#This Row],[Sale_Date]],"DDDD")</f>
        <v>Thursday</v>
      </c>
      <c r="F854" t="s">
        <v>41</v>
      </c>
      <c r="G854" t="s">
        <v>14</v>
      </c>
      <c r="H854" s="2">
        <v>7400.52</v>
      </c>
      <c r="I854">
        <v>43</v>
      </c>
      <c r="J854" t="s">
        <v>15</v>
      </c>
      <c r="K854" s="2">
        <v>1454.8</v>
      </c>
      <c r="L854" s="2">
        <v>1674.97</v>
      </c>
      <c r="M854" t="s">
        <v>29</v>
      </c>
      <c r="N854">
        <v>0.03</v>
      </c>
      <c r="O854" s="2">
        <f>(Sales[[#This Row],[Unit_Price]]-Sales[[#This Row],[Discount]]*Sales[[#This Row],[Unit_Price]])</f>
        <v>1624.7209</v>
      </c>
      <c r="P854" t="s">
        <v>30</v>
      </c>
      <c r="Q854" t="s">
        <v>18</v>
      </c>
      <c r="R854" t="s">
        <v>48</v>
      </c>
    </row>
    <row r="855" spans="1:18" x14ac:dyDescent="0.35">
      <c r="A855">
        <v>1047</v>
      </c>
      <c r="B855" s="1">
        <v>45132</v>
      </c>
      <c r="C855" s="1" t="str">
        <f>TEXT(Sales[[#This Row],[Sale_Date]],"YYYY")</f>
        <v>2023</v>
      </c>
      <c r="D855" s="1" t="str">
        <f>TEXT(Sales[[#This Row],[Sale_Date]],"MMMM")</f>
        <v>July</v>
      </c>
      <c r="E855" s="1" t="str">
        <f>TEXT(Sales[[#This Row],[Sale_Date]],"DDDD")</f>
        <v>Tuesday</v>
      </c>
      <c r="F855" t="s">
        <v>32</v>
      </c>
      <c r="G855" t="s">
        <v>33</v>
      </c>
      <c r="H855" s="2">
        <v>2936.54</v>
      </c>
      <c r="I855">
        <v>19</v>
      </c>
      <c r="J855" t="s">
        <v>15</v>
      </c>
      <c r="K855" s="2">
        <v>3484.62</v>
      </c>
      <c r="L855" s="2">
        <v>3781.5499999999902</v>
      </c>
      <c r="M855" t="s">
        <v>16</v>
      </c>
      <c r="N855">
        <v>0.21</v>
      </c>
      <c r="O855" s="2">
        <f>(Sales[[#This Row],[Unit_Price]]-Sales[[#This Row],[Discount]]*Sales[[#This Row],[Unit_Price]])</f>
        <v>2987.4244999999923</v>
      </c>
      <c r="P855" t="s">
        <v>30</v>
      </c>
      <c r="Q855" t="s">
        <v>21</v>
      </c>
      <c r="R855" t="s">
        <v>35</v>
      </c>
    </row>
    <row r="856" spans="1:18" x14ac:dyDescent="0.35">
      <c r="A856">
        <v>1023</v>
      </c>
      <c r="B856" s="1">
        <v>45199</v>
      </c>
      <c r="C856" s="1" t="str">
        <f>TEXT(Sales[[#This Row],[Sale_Date]],"YYYY")</f>
        <v>2023</v>
      </c>
      <c r="D856" s="1" t="str">
        <f>TEXT(Sales[[#This Row],[Sale_Date]],"MMMM")</f>
        <v>September</v>
      </c>
      <c r="E856" s="1" t="str">
        <f>TEXT(Sales[[#This Row],[Sale_Date]],"DDDD")</f>
        <v>Saturday</v>
      </c>
      <c r="F856" t="s">
        <v>32</v>
      </c>
      <c r="G856" t="s">
        <v>14</v>
      </c>
      <c r="H856" s="2">
        <v>8046.14</v>
      </c>
      <c r="I856">
        <v>8</v>
      </c>
      <c r="J856" t="s">
        <v>15</v>
      </c>
      <c r="K856" s="2">
        <v>1563.78</v>
      </c>
      <c r="L856" s="2">
        <v>1829.1599999999901</v>
      </c>
      <c r="M856" t="s">
        <v>16</v>
      </c>
      <c r="N856">
        <v>0.15</v>
      </c>
      <c r="O856" s="2">
        <f>(Sales[[#This Row],[Unit_Price]]-Sales[[#This Row],[Discount]]*Sales[[#This Row],[Unit_Price]])</f>
        <v>1554.7859999999916</v>
      </c>
      <c r="P856" t="s">
        <v>17</v>
      </c>
      <c r="Q856" t="s">
        <v>18</v>
      </c>
      <c r="R856" t="s">
        <v>52</v>
      </c>
    </row>
    <row r="857" spans="1:18" x14ac:dyDescent="0.35">
      <c r="A857">
        <v>1079</v>
      </c>
      <c r="B857" s="1">
        <v>45162</v>
      </c>
      <c r="C857" s="1" t="str">
        <f>TEXT(Sales[[#This Row],[Sale_Date]],"YYYY")</f>
        <v>2023</v>
      </c>
      <c r="D857" s="1" t="str">
        <f>TEXT(Sales[[#This Row],[Sale_Date]],"MMMM")</f>
        <v>August</v>
      </c>
      <c r="E857" s="1" t="str">
        <f>TEXT(Sales[[#This Row],[Sale_Date]],"DDDD")</f>
        <v>Thursday</v>
      </c>
      <c r="F857" t="s">
        <v>41</v>
      </c>
      <c r="G857" t="s">
        <v>14</v>
      </c>
      <c r="H857" s="2">
        <v>9972.66</v>
      </c>
      <c r="I857">
        <v>8</v>
      </c>
      <c r="J857" t="s">
        <v>28</v>
      </c>
      <c r="K857" s="2">
        <v>3808.23</v>
      </c>
      <c r="L857" s="2">
        <v>3891.62</v>
      </c>
      <c r="M857" t="s">
        <v>16</v>
      </c>
      <c r="N857">
        <v>0.26</v>
      </c>
      <c r="O857" s="2">
        <f>(Sales[[#This Row],[Unit_Price]]-Sales[[#This Row],[Discount]]*Sales[[#This Row],[Unit_Price]])</f>
        <v>2879.7988</v>
      </c>
      <c r="P857" t="s">
        <v>26</v>
      </c>
      <c r="Q857" t="s">
        <v>18</v>
      </c>
      <c r="R857" t="s">
        <v>48</v>
      </c>
    </row>
    <row r="858" spans="1:18" x14ac:dyDescent="0.35">
      <c r="A858">
        <v>1085</v>
      </c>
      <c r="B858" s="1">
        <v>45266</v>
      </c>
      <c r="C858" s="1" t="str">
        <f>TEXT(Sales[[#This Row],[Sale_Date]],"YYYY")</f>
        <v>2023</v>
      </c>
      <c r="D858" s="1" t="str">
        <f>TEXT(Sales[[#This Row],[Sale_Date]],"MMMM")</f>
        <v>December</v>
      </c>
      <c r="E858" s="1" t="str">
        <f>TEXT(Sales[[#This Row],[Sale_Date]],"DDDD")</f>
        <v>Wednesday</v>
      </c>
      <c r="F858" t="s">
        <v>37</v>
      </c>
      <c r="G858" t="s">
        <v>14</v>
      </c>
      <c r="H858" s="2">
        <v>397.26</v>
      </c>
      <c r="I858">
        <v>42</v>
      </c>
      <c r="J858" t="s">
        <v>34</v>
      </c>
      <c r="K858" s="2">
        <v>3117.75</v>
      </c>
      <c r="L858" s="2">
        <v>3159.88</v>
      </c>
      <c r="M858" t="s">
        <v>29</v>
      </c>
      <c r="N858">
        <v>0.04</v>
      </c>
      <c r="O858" s="2">
        <f>(Sales[[#This Row],[Unit_Price]]-Sales[[#This Row],[Discount]]*Sales[[#This Row],[Unit_Price]])</f>
        <v>3033.4848000000002</v>
      </c>
      <c r="P858" t="s">
        <v>17</v>
      </c>
      <c r="Q858" t="s">
        <v>21</v>
      </c>
      <c r="R858" t="s">
        <v>39</v>
      </c>
    </row>
    <row r="859" spans="1:18" x14ac:dyDescent="0.35">
      <c r="A859">
        <v>1014</v>
      </c>
      <c r="B859" s="1">
        <v>45154</v>
      </c>
      <c r="C859" s="1" t="str">
        <f>TEXT(Sales[[#This Row],[Sale_Date]],"YYYY")</f>
        <v>2023</v>
      </c>
      <c r="D859" s="1" t="str">
        <f>TEXT(Sales[[#This Row],[Sale_Date]],"MMMM")</f>
        <v>August</v>
      </c>
      <c r="E859" s="1" t="str">
        <f>TEXT(Sales[[#This Row],[Sale_Date]],"DDDD")</f>
        <v>Wednesday</v>
      </c>
      <c r="F859" t="s">
        <v>23</v>
      </c>
      <c r="G859" t="s">
        <v>24</v>
      </c>
      <c r="H859" s="2">
        <v>8983.92</v>
      </c>
      <c r="I859">
        <v>26</v>
      </c>
      <c r="J859" t="s">
        <v>15</v>
      </c>
      <c r="K859" s="2">
        <v>433.19</v>
      </c>
      <c r="L859" s="2">
        <v>800.6</v>
      </c>
      <c r="M859" t="s">
        <v>16</v>
      </c>
      <c r="N859">
        <v>0.2</v>
      </c>
      <c r="O859" s="2">
        <f>(Sales[[#This Row],[Unit_Price]]-Sales[[#This Row],[Discount]]*Sales[[#This Row],[Unit_Price]])</f>
        <v>640.48</v>
      </c>
      <c r="P859" t="s">
        <v>17</v>
      </c>
      <c r="Q859" t="s">
        <v>18</v>
      </c>
      <c r="R859" t="s">
        <v>27</v>
      </c>
    </row>
    <row r="860" spans="1:18" x14ac:dyDescent="0.35">
      <c r="A860">
        <v>1066</v>
      </c>
      <c r="B860" s="1">
        <v>44935</v>
      </c>
      <c r="C860" s="1" t="str">
        <f>TEXT(Sales[[#This Row],[Sale_Date]],"YYYY")</f>
        <v>2023</v>
      </c>
      <c r="D860" s="1" t="str">
        <f>TEXT(Sales[[#This Row],[Sale_Date]],"MMMM")</f>
        <v>January</v>
      </c>
      <c r="E860" s="1" t="str">
        <f>TEXT(Sales[[#This Row],[Sale_Date]],"DDDD")</f>
        <v>Monday</v>
      </c>
      <c r="F860" t="s">
        <v>41</v>
      </c>
      <c r="G860" t="s">
        <v>14</v>
      </c>
      <c r="H860" s="2">
        <v>6264.04</v>
      </c>
      <c r="I860">
        <v>48</v>
      </c>
      <c r="J860" t="s">
        <v>28</v>
      </c>
      <c r="K860" s="2">
        <v>2588.54</v>
      </c>
      <c r="L860" s="2">
        <v>2872.8</v>
      </c>
      <c r="M860" t="s">
        <v>29</v>
      </c>
      <c r="N860">
        <v>0.17</v>
      </c>
      <c r="O860" s="2">
        <f>(Sales[[#This Row],[Unit_Price]]-Sales[[#This Row],[Discount]]*Sales[[#This Row],[Unit_Price]])</f>
        <v>2384.424</v>
      </c>
      <c r="P860" t="s">
        <v>17</v>
      </c>
      <c r="Q860" t="s">
        <v>18</v>
      </c>
      <c r="R860" t="s">
        <v>48</v>
      </c>
    </row>
    <row r="861" spans="1:18" x14ac:dyDescent="0.35">
      <c r="A861">
        <v>1075</v>
      </c>
      <c r="B861" s="1">
        <v>45092</v>
      </c>
      <c r="C861" s="1" t="str">
        <f>TEXT(Sales[[#This Row],[Sale_Date]],"YYYY")</f>
        <v>2023</v>
      </c>
      <c r="D861" s="1" t="str">
        <f>TEXT(Sales[[#This Row],[Sale_Date]],"MMMM")</f>
        <v>June</v>
      </c>
      <c r="E861" s="1" t="str">
        <f>TEXT(Sales[[#This Row],[Sale_Date]],"DDDD")</f>
        <v>Thursday</v>
      </c>
      <c r="F861" t="s">
        <v>37</v>
      </c>
      <c r="G861" t="s">
        <v>14</v>
      </c>
      <c r="H861" s="2">
        <v>9736.49</v>
      </c>
      <c r="I861">
        <v>26</v>
      </c>
      <c r="J861" t="s">
        <v>15</v>
      </c>
      <c r="K861" s="2">
        <v>1749.34</v>
      </c>
      <c r="L861" s="2">
        <v>1935.25</v>
      </c>
      <c r="M861" t="s">
        <v>29</v>
      </c>
      <c r="N861">
        <v>0.14000000000000001</v>
      </c>
      <c r="O861" s="2">
        <f>(Sales[[#This Row],[Unit_Price]]-Sales[[#This Row],[Discount]]*Sales[[#This Row],[Unit_Price]])</f>
        <v>1664.3150000000001</v>
      </c>
      <c r="P861" t="s">
        <v>30</v>
      </c>
      <c r="Q861" t="s">
        <v>18</v>
      </c>
      <c r="R861" t="s">
        <v>39</v>
      </c>
    </row>
    <row r="862" spans="1:18" x14ac:dyDescent="0.35">
      <c r="A862">
        <v>1051</v>
      </c>
      <c r="B862" s="1">
        <v>45245</v>
      </c>
      <c r="C862" s="1" t="str">
        <f>TEXT(Sales[[#This Row],[Sale_Date]],"YYYY")</f>
        <v>2023</v>
      </c>
      <c r="D862" s="1" t="str">
        <f>TEXT(Sales[[#This Row],[Sale_Date]],"MMMM")</f>
        <v>November</v>
      </c>
      <c r="E862" s="1" t="str">
        <f>TEXT(Sales[[#This Row],[Sale_Date]],"DDDD")</f>
        <v>Wednesday</v>
      </c>
      <c r="F862" t="s">
        <v>41</v>
      </c>
      <c r="G862" t="s">
        <v>14</v>
      </c>
      <c r="H862" s="2">
        <v>4703.59</v>
      </c>
      <c r="I862">
        <v>23</v>
      </c>
      <c r="J862" t="s">
        <v>34</v>
      </c>
      <c r="K862" s="2">
        <v>1676.42</v>
      </c>
      <c r="L862" s="2">
        <v>2082.52</v>
      </c>
      <c r="M862" t="s">
        <v>29</v>
      </c>
      <c r="N862">
        <v>0.15</v>
      </c>
      <c r="O862" s="2">
        <f>(Sales[[#This Row],[Unit_Price]]-Sales[[#This Row],[Discount]]*Sales[[#This Row],[Unit_Price]])</f>
        <v>1770.1420000000001</v>
      </c>
      <c r="P862" t="s">
        <v>26</v>
      </c>
      <c r="Q862" t="s">
        <v>21</v>
      </c>
      <c r="R862" t="s">
        <v>48</v>
      </c>
    </row>
    <row r="863" spans="1:18" x14ac:dyDescent="0.35">
      <c r="A863">
        <v>1038</v>
      </c>
      <c r="B863" s="1">
        <v>45140</v>
      </c>
      <c r="C863" s="1" t="str">
        <f>TEXT(Sales[[#This Row],[Sale_Date]],"YYYY")</f>
        <v>2023</v>
      </c>
      <c r="D863" s="1" t="str">
        <f>TEXT(Sales[[#This Row],[Sale_Date]],"MMMM")</f>
        <v>August</v>
      </c>
      <c r="E863" s="1" t="str">
        <f>TEXT(Sales[[#This Row],[Sale_Date]],"DDDD")</f>
        <v>Wednesday</v>
      </c>
      <c r="F863" t="s">
        <v>41</v>
      </c>
      <c r="G863" t="s">
        <v>33</v>
      </c>
      <c r="H863" s="2">
        <v>8489.14</v>
      </c>
      <c r="I863">
        <v>43</v>
      </c>
      <c r="J863" t="s">
        <v>15</v>
      </c>
      <c r="K863" s="2">
        <v>3031.17</v>
      </c>
      <c r="L863" s="2">
        <v>3231.32</v>
      </c>
      <c r="M863" t="s">
        <v>16</v>
      </c>
      <c r="N863">
        <v>0.22</v>
      </c>
      <c r="O863" s="2">
        <f>(Sales[[#This Row],[Unit_Price]]-Sales[[#This Row],[Discount]]*Sales[[#This Row],[Unit_Price]])</f>
        <v>2520.4296000000004</v>
      </c>
      <c r="P863" t="s">
        <v>17</v>
      </c>
      <c r="Q863" t="s">
        <v>21</v>
      </c>
      <c r="R863" t="s">
        <v>51</v>
      </c>
    </row>
    <row r="864" spans="1:18" x14ac:dyDescent="0.35">
      <c r="A864">
        <v>1064</v>
      </c>
      <c r="B864" s="1">
        <v>45043</v>
      </c>
      <c r="C864" s="1" t="str">
        <f>TEXT(Sales[[#This Row],[Sale_Date]],"YYYY")</f>
        <v>2023</v>
      </c>
      <c r="D864" s="1" t="str">
        <f>TEXT(Sales[[#This Row],[Sale_Date]],"MMMM")</f>
        <v>April</v>
      </c>
      <c r="E864" s="1" t="str">
        <f>TEXT(Sales[[#This Row],[Sale_Date]],"DDDD")</f>
        <v>Thursday</v>
      </c>
      <c r="F864" t="s">
        <v>13</v>
      </c>
      <c r="G864" t="s">
        <v>14</v>
      </c>
      <c r="H864" s="2">
        <v>717.7</v>
      </c>
      <c r="I864">
        <v>13</v>
      </c>
      <c r="J864" t="s">
        <v>28</v>
      </c>
      <c r="K864" s="2">
        <v>1645.51</v>
      </c>
      <c r="L864" s="2">
        <v>2045.53</v>
      </c>
      <c r="M864" t="s">
        <v>16</v>
      </c>
      <c r="N864">
        <v>0.28000000000000003</v>
      </c>
      <c r="O864" s="2">
        <f>(Sales[[#This Row],[Unit_Price]]-Sales[[#This Row],[Discount]]*Sales[[#This Row],[Unit_Price]])</f>
        <v>1472.7815999999998</v>
      </c>
      <c r="P864" t="s">
        <v>17</v>
      </c>
      <c r="Q864" t="s">
        <v>21</v>
      </c>
      <c r="R864" t="s">
        <v>19</v>
      </c>
    </row>
    <row r="865" spans="1:18" x14ac:dyDescent="0.35">
      <c r="A865">
        <v>1098</v>
      </c>
      <c r="B865" s="1">
        <v>45270</v>
      </c>
      <c r="C865" s="1" t="str">
        <f>TEXT(Sales[[#This Row],[Sale_Date]],"YYYY")</f>
        <v>2023</v>
      </c>
      <c r="D865" s="1" t="str">
        <f>TEXT(Sales[[#This Row],[Sale_Date]],"MMMM")</f>
        <v>December</v>
      </c>
      <c r="E865" s="1" t="str">
        <f>TEXT(Sales[[#This Row],[Sale_Date]],"DDDD")</f>
        <v>Sunday</v>
      </c>
      <c r="F865" t="s">
        <v>37</v>
      </c>
      <c r="G865" t="s">
        <v>33</v>
      </c>
      <c r="H865" s="2">
        <v>3419.26</v>
      </c>
      <c r="I865">
        <v>28</v>
      </c>
      <c r="J865" t="s">
        <v>34</v>
      </c>
      <c r="K865" s="2">
        <v>3895.62</v>
      </c>
      <c r="L865" s="2">
        <v>4055.44</v>
      </c>
      <c r="M865" t="s">
        <v>29</v>
      </c>
      <c r="N865">
        <v>0.03</v>
      </c>
      <c r="O865" s="2">
        <f>(Sales[[#This Row],[Unit_Price]]-Sales[[#This Row],[Discount]]*Sales[[#This Row],[Unit_Price]])</f>
        <v>3933.7768000000001</v>
      </c>
      <c r="P865" t="s">
        <v>26</v>
      </c>
      <c r="Q865" t="s">
        <v>21</v>
      </c>
      <c r="R865" t="s">
        <v>47</v>
      </c>
    </row>
    <row r="866" spans="1:18" x14ac:dyDescent="0.35">
      <c r="A866">
        <v>1038</v>
      </c>
      <c r="B866" s="1">
        <v>44998</v>
      </c>
      <c r="C866" s="1" t="str">
        <f>TEXT(Sales[[#This Row],[Sale_Date]],"YYYY")</f>
        <v>2023</v>
      </c>
      <c r="D866" s="1" t="str">
        <f>TEXT(Sales[[#This Row],[Sale_Date]],"MMMM")</f>
        <v>March</v>
      </c>
      <c r="E866" s="1" t="str">
        <f>TEXT(Sales[[#This Row],[Sale_Date]],"DDDD")</f>
        <v>Monday</v>
      </c>
      <c r="F866" t="s">
        <v>23</v>
      </c>
      <c r="G866" t="s">
        <v>14</v>
      </c>
      <c r="H866" s="2">
        <v>763.46</v>
      </c>
      <c r="I866">
        <v>9</v>
      </c>
      <c r="J866" t="s">
        <v>28</v>
      </c>
      <c r="K866" s="2">
        <v>400.42</v>
      </c>
      <c r="L866" s="2">
        <v>446.11</v>
      </c>
      <c r="M866" t="s">
        <v>29</v>
      </c>
      <c r="N866">
        <v>0.01</v>
      </c>
      <c r="O866" s="2">
        <f>(Sales[[#This Row],[Unit_Price]]-Sales[[#This Row],[Discount]]*Sales[[#This Row],[Unit_Price]])</f>
        <v>441.64890000000003</v>
      </c>
      <c r="P866" t="s">
        <v>26</v>
      </c>
      <c r="Q866" t="s">
        <v>21</v>
      </c>
      <c r="R866" t="s">
        <v>44</v>
      </c>
    </row>
    <row r="867" spans="1:18" x14ac:dyDescent="0.35">
      <c r="A867">
        <v>1050</v>
      </c>
      <c r="B867" s="1">
        <v>44990</v>
      </c>
      <c r="C867" s="1" t="str">
        <f>TEXT(Sales[[#This Row],[Sale_Date]],"YYYY")</f>
        <v>2023</v>
      </c>
      <c r="D867" s="1" t="str">
        <f>TEXT(Sales[[#This Row],[Sale_Date]],"MMMM")</f>
        <v>March</v>
      </c>
      <c r="E867" s="1" t="str">
        <f>TEXT(Sales[[#This Row],[Sale_Date]],"DDDD")</f>
        <v>Sunday</v>
      </c>
      <c r="F867" t="s">
        <v>13</v>
      </c>
      <c r="G867" t="s">
        <v>14</v>
      </c>
      <c r="H867" s="2">
        <v>9755.9</v>
      </c>
      <c r="I867">
        <v>20</v>
      </c>
      <c r="J867" t="s">
        <v>34</v>
      </c>
      <c r="K867" s="2">
        <v>3318.92</v>
      </c>
      <c r="L867" s="2">
        <v>3785.91</v>
      </c>
      <c r="M867" t="s">
        <v>29</v>
      </c>
      <c r="N867">
        <v>0.24</v>
      </c>
      <c r="O867" s="2">
        <f>(Sales[[#This Row],[Unit_Price]]-Sales[[#This Row],[Discount]]*Sales[[#This Row],[Unit_Price]])</f>
        <v>2877.2916</v>
      </c>
      <c r="P867" t="s">
        <v>26</v>
      </c>
      <c r="Q867" t="s">
        <v>18</v>
      </c>
      <c r="R867" t="s">
        <v>19</v>
      </c>
    </row>
    <row r="868" spans="1:18" x14ac:dyDescent="0.35">
      <c r="A868">
        <v>1098</v>
      </c>
      <c r="B868" s="1">
        <v>45131</v>
      </c>
      <c r="C868" s="1" t="str">
        <f>TEXT(Sales[[#This Row],[Sale_Date]],"YYYY")</f>
        <v>2023</v>
      </c>
      <c r="D868" s="1" t="str">
        <f>TEXT(Sales[[#This Row],[Sale_Date]],"MMMM")</f>
        <v>July</v>
      </c>
      <c r="E868" s="1" t="str">
        <f>TEXT(Sales[[#This Row],[Sale_Date]],"DDDD")</f>
        <v>Monday</v>
      </c>
      <c r="F868" t="s">
        <v>41</v>
      </c>
      <c r="G868" t="s">
        <v>24</v>
      </c>
      <c r="H868" s="2">
        <v>8188.04</v>
      </c>
      <c r="I868">
        <v>19</v>
      </c>
      <c r="J868" t="s">
        <v>34</v>
      </c>
      <c r="K868" s="2">
        <v>4055.51</v>
      </c>
      <c r="L868" s="2">
        <v>4258.84</v>
      </c>
      <c r="M868" t="s">
        <v>16</v>
      </c>
      <c r="N868">
        <v>0.03</v>
      </c>
      <c r="O868" s="2">
        <f>(Sales[[#This Row],[Unit_Price]]-Sales[[#This Row],[Discount]]*Sales[[#This Row],[Unit_Price]])</f>
        <v>4131.0748000000003</v>
      </c>
      <c r="P868" t="s">
        <v>30</v>
      </c>
      <c r="Q868" t="s">
        <v>18</v>
      </c>
      <c r="R868" t="s">
        <v>42</v>
      </c>
    </row>
    <row r="869" spans="1:18" x14ac:dyDescent="0.35">
      <c r="A869">
        <v>1082</v>
      </c>
      <c r="B869" s="1">
        <v>45135</v>
      </c>
      <c r="C869" s="1" t="str">
        <f>TEXT(Sales[[#This Row],[Sale_Date]],"YYYY")</f>
        <v>2023</v>
      </c>
      <c r="D869" s="1" t="str">
        <f>TEXT(Sales[[#This Row],[Sale_Date]],"MMMM")</f>
        <v>July</v>
      </c>
      <c r="E869" s="1" t="str">
        <f>TEXT(Sales[[#This Row],[Sale_Date]],"DDDD")</f>
        <v>Friday</v>
      </c>
      <c r="F869" t="s">
        <v>41</v>
      </c>
      <c r="G869" t="s">
        <v>33</v>
      </c>
      <c r="H869" s="2">
        <v>8540.2199999999993</v>
      </c>
      <c r="I869">
        <v>48</v>
      </c>
      <c r="J869" t="s">
        <v>25</v>
      </c>
      <c r="K869" s="2">
        <v>3380.52</v>
      </c>
      <c r="L869" s="2">
        <v>3778.94</v>
      </c>
      <c r="M869" t="s">
        <v>16</v>
      </c>
      <c r="N869">
        <v>0.3</v>
      </c>
      <c r="O869" s="2">
        <f>(Sales[[#This Row],[Unit_Price]]-Sales[[#This Row],[Discount]]*Sales[[#This Row],[Unit_Price]])</f>
        <v>2645.2579999999998</v>
      </c>
      <c r="P869" t="s">
        <v>26</v>
      </c>
      <c r="Q869" t="s">
        <v>18</v>
      </c>
      <c r="R869" t="s">
        <v>51</v>
      </c>
    </row>
    <row r="870" spans="1:18" x14ac:dyDescent="0.35">
      <c r="A870">
        <v>1030</v>
      </c>
      <c r="B870" s="1">
        <v>44998</v>
      </c>
      <c r="C870" s="1" t="str">
        <f>TEXT(Sales[[#This Row],[Sale_Date]],"YYYY")</f>
        <v>2023</v>
      </c>
      <c r="D870" s="1" t="str">
        <f>TEXT(Sales[[#This Row],[Sale_Date]],"MMMM")</f>
        <v>March</v>
      </c>
      <c r="E870" s="1" t="str">
        <f>TEXT(Sales[[#This Row],[Sale_Date]],"DDDD")</f>
        <v>Monday</v>
      </c>
      <c r="F870" t="s">
        <v>41</v>
      </c>
      <c r="G870" t="s">
        <v>14</v>
      </c>
      <c r="H870" s="2">
        <v>9385.86</v>
      </c>
      <c r="I870">
        <v>39</v>
      </c>
      <c r="J870" t="s">
        <v>25</v>
      </c>
      <c r="K870" s="2">
        <v>2511.2800000000002</v>
      </c>
      <c r="L870" s="2">
        <v>2658.06</v>
      </c>
      <c r="M870" t="s">
        <v>29</v>
      </c>
      <c r="N870">
        <v>0.19</v>
      </c>
      <c r="O870" s="2">
        <f>(Sales[[#This Row],[Unit_Price]]-Sales[[#This Row],[Discount]]*Sales[[#This Row],[Unit_Price]])</f>
        <v>2153.0286000000001</v>
      </c>
      <c r="P870" t="s">
        <v>30</v>
      </c>
      <c r="Q870" t="s">
        <v>21</v>
      </c>
      <c r="R870" t="s">
        <v>48</v>
      </c>
    </row>
    <row r="871" spans="1:18" x14ac:dyDescent="0.35">
      <c r="A871">
        <v>1079</v>
      </c>
      <c r="B871" s="1">
        <v>45203</v>
      </c>
      <c r="C871" s="1" t="str">
        <f>TEXT(Sales[[#This Row],[Sale_Date]],"YYYY")</f>
        <v>2023</v>
      </c>
      <c r="D871" s="1" t="str">
        <f>TEXT(Sales[[#This Row],[Sale_Date]],"MMMM")</f>
        <v>October</v>
      </c>
      <c r="E871" s="1" t="str">
        <f>TEXT(Sales[[#This Row],[Sale_Date]],"DDDD")</f>
        <v>Wednesday</v>
      </c>
      <c r="F871" t="s">
        <v>37</v>
      </c>
      <c r="G871" t="s">
        <v>33</v>
      </c>
      <c r="H871" s="2">
        <v>942.52</v>
      </c>
      <c r="I871">
        <v>12</v>
      </c>
      <c r="J871" t="s">
        <v>25</v>
      </c>
      <c r="K871" s="2">
        <v>4754.0200000000004</v>
      </c>
      <c r="L871" s="2">
        <v>5080.74</v>
      </c>
      <c r="M871" t="s">
        <v>29</v>
      </c>
      <c r="N871">
        <v>0.2</v>
      </c>
      <c r="O871" s="2">
        <f>(Sales[[#This Row],[Unit_Price]]-Sales[[#This Row],[Discount]]*Sales[[#This Row],[Unit_Price]])</f>
        <v>4064.5919999999996</v>
      </c>
      <c r="P871" t="s">
        <v>17</v>
      </c>
      <c r="Q871" t="s">
        <v>18</v>
      </c>
      <c r="R871" t="s">
        <v>47</v>
      </c>
    </row>
    <row r="872" spans="1:18" x14ac:dyDescent="0.35">
      <c r="A872">
        <v>1091</v>
      </c>
      <c r="B872" s="1">
        <v>45200</v>
      </c>
      <c r="C872" s="1" t="str">
        <f>TEXT(Sales[[#This Row],[Sale_Date]],"YYYY")</f>
        <v>2023</v>
      </c>
      <c r="D872" s="1" t="str">
        <f>TEXT(Sales[[#This Row],[Sale_Date]],"MMMM")</f>
        <v>October</v>
      </c>
      <c r="E872" s="1" t="str">
        <f>TEXT(Sales[[#This Row],[Sale_Date]],"DDDD")</f>
        <v>Sunday</v>
      </c>
      <c r="F872" t="s">
        <v>37</v>
      </c>
      <c r="G872" t="s">
        <v>33</v>
      </c>
      <c r="H872" s="2">
        <v>3917.42</v>
      </c>
      <c r="I872">
        <v>15</v>
      </c>
      <c r="J872" t="s">
        <v>34</v>
      </c>
      <c r="K872" s="2">
        <v>1534.7</v>
      </c>
      <c r="L872" s="2">
        <v>1972.62</v>
      </c>
      <c r="M872" t="s">
        <v>16</v>
      </c>
      <c r="N872">
        <v>0.06</v>
      </c>
      <c r="O872" s="2">
        <f>(Sales[[#This Row],[Unit_Price]]-Sales[[#This Row],[Discount]]*Sales[[#This Row],[Unit_Price]])</f>
        <v>1854.2628</v>
      </c>
      <c r="P872" t="s">
        <v>30</v>
      </c>
      <c r="Q872" t="s">
        <v>21</v>
      </c>
      <c r="R872" t="s">
        <v>47</v>
      </c>
    </row>
    <row r="873" spans="1:18" x14ac:dyDescent="0.35">
      <c r="A873">
        <v>1051</v>
      </c>
      <c r="B873" s="1">
        <v>45246</v>
      </c>
      <c r="C873" s="1" t="str">
        <f>TEXT(Sales[[#This Row],[Sale_Date]],"YYYY")</f>
        <v>2023</v>
      </c>
      <c r="D873" s="1" t="str">
        <f>TEXT(Sales[[#This Row],[Sale_Date]],"MMMM")</f>
        <v>November</v>
      </c>
      <c r="E873" s="1" t="str">
        <f>TEXT(Sales[[#This Row],[Sale_Date]],"DDDD")</f>
        <v>Thursday</v>
      </c>
      <c r="F873" t="s">
        <v>13</v>
      </c>
      <c r="G873" t="s">
        <v>20</v>
      </c>
      <c r="H873" s="2">
        <v>803.25</v>
      </c>
      <c r="I873">
        <v>31</v>
      </c>
      <c r="J873" t="s">
        <v>15</v>
      </c>
      <c r="K873" s="2">
        <v>144.88</v>
      </c>
      <c r="L873" s="2">
        <v>175.29</v>
      </c>
      <c r="M873" t="s">
        <v>29</v>
      </c>
      <c r="N873">
        <v>7.0000000000000007E-2</v>
      </c>
      <c r="O873" s="2">
        <f>(Sales[[#This Row],[Unit_Price]]-Sales[[#This Row],[Discount]]*Sales[[#This Row],[Unit_Price]])</f>
        <v>163.0197</v>
      </c>
      <c r="P873" t="s">
        <v>26</v>
      </c>
      <c r="Q873" t="s">
        <v>18</v>
      </c>
      <c r="R873" t="s">
        <v>22</v>
      </c>
    </row>
    <row r="874" spans="1:18" x14ac:dyDescent="0.35">
      <c r="A874">
        <v>1063</v>
      </c>
      <c r="B874" s="1">
        <v>45264</v>
      </c>
      <c r="C874" s="1" t="str">
        <f>TEXT(Sales[[#This Row],[Sale_Date]],"YYYY")</f>
        <v>2023</v>
      </c>
      <c r="D874" s="1" t="str">
        <f>TEXT(Sales[[#This Row],[Sale_Date]],"MMMM")</f>
        <v>December</v>
      </c>
      <c r="E874" s="1" t="str">
        <f>TEXT(Sales[[#This Row],[Sale_Date]],"DDDD")</f>
        <v>Monday</v>
      </c>
      <c r="F874" t="s">
        <v>23</v>
      </c>
      <c r="G874" t="s">
        <v>24</v>
      </c>
      <c r="H874" s="2">
        <v>2186.85</v>
      </c>
      <c r="I874">
        <v>14</v>
      </c>
      <c r="J874" t="s">
        <v>28</v>
      </c>
      <c r="K874" s="2">
        <v>2188.35</v>
      </c>
      <c r="L874" s="2">
        <v>2605.3599999999901</v>
      </c>
      <c r="M874" t="s">
        <v>16</v>
      </c>
      <c r="N874">
        <v>0.2</v>
      </c>
      <c r="O874" s="2">
        <f>(Sales[[#This Row],[Unit_Price]]-Sales[[#This Row],[Discount]]*Sales[[#This Row],[Unit_Price]])</f>
        <v>2084.2879999999923</v>
      </c>
      <c r="P874" t="s">
        <v>30</v>
      </c>
      <c r="Q874" t="s">
        <v>21</v>
      </c>
      <c r="R874" t="s">
        <v>27</v>
      </c>
    </row>
    <row r="875" spans="1:18" x14ac:dyDescent="0.35">
      <c r="A875">
        <v>1098</v>
      </c>
      <c r="B875" s="1">
        <v>45292</v>
      </c>
      <c r="C875" s="1" t="str">
        <f>TEXT(Sales[[#This Row],[Sale_Date]],"YYYY")</f>
        <v>2024</v>
      </c>
      <c r="D875" s="1" t="str">
        <f>TEXT(Sales[[#This Row],[Sale_Date]],"MMMM")</f>
        <v>January</v>
      </c>
      <c r="E875" s="1" t="str">
        <f>TEXT(Sales[[#This Row],[Sale_Date]],"DDDD")</f>
        <v>Monday</v>
      </c>
      <c r="F875" t="s">
        <v>13</v>
      </c>
      <c r="G875" t="s">
        <v>24</v>
      </c>
      <c r="H875" s="2">
        <v>2370.7199999999998</v>
      </c>
      <c r="I875">
        <v>11</v>
      </c>
      <c r="J875" t="s">
        <v>28</v>
      </c>
      <c r="K875" s="2">
        <v>213.41</v>
      </c>
      <c r="L875" s="2">
        <v>503.36</v>
      </c>
      <c r="M875" t="s">
        <v>16</v>
      </c>
      <c r="N875">
        <v>0.27</v>
      </c>
      <c r="O875" s="2">
        <f>(Sales[[#This Row],[Unit_Price]]-Sales[[#This Row],[Discount]]*Sales[[#This Row],[Unit_Price]])</f>
        <v>367.45280000000002</v>
      </c>
      <c r="P875" t="s">
        <v>26</v>
      </c>
      <c r="Q875" t="s">
        <v>18</v>
      </c>
      <c r="R875" t="s">
        <v>31</v>
      </c>
    </row>
    <row r="876" spans="1:18" x14ac:dyDescent="0.35">
      <c r="A876">
        <v>1052</v>
      </c>
      <c r="B876" s="1">
        <v>45021</v>
      </c>
      <c r="C876" s="1" t="str">
        <f>TEXT(Sales[[#This Row],[Sale_Date]],"YYYY")</f>
        <v>2023</v>
      </c>
      <c r="D876" s="1" t="str">
        <f>TEXT(Sales[[#This Row],[Sale_Date]],"MMMM")</f>
        <v>April</v>
      </c>
      <c r="E876" s="1" t="str">
        <f>TEXT(Sales[[#This Row],[Sale_Date]],"DDDD")</f>
        <v>Wednesday</v>
      </c>
      <c r="F876" t="s">
        <v>32</v>
      </c>
      <c r="G876" t="s">
        <v>24</v>
      </c>
      <c r="H876" s="2">
        <v>4744.16</v>
      </c>
      <c r="I876">
        <v>26</v>
      </c>
      <c r="J876" t="s">
        <v>28</v>
      </c>
      <c r="K876" s="2">
        <v>4771.99</v>
      </c>
      <c r="L876" s="2">
        <v>5079.6499999999996</v>
      </c>
      <c r="M876" t="s">
        <v>29</v>
      </c>
      <c r="N876">
        <v>0.28999999999999998</v>
      </c>
      <c r="O876" s="2">
        <f>(Sales[[#This Row],[Unit_Price]]-Sales[[#This Row],[Discount]]*Sales[[#This Row],[Unit_Price]])</f>
        <v>3606.5514999999996</v>
      </c>
      <c r="P876" t="s">
        <v>30</v>
      </c>
      <c r="Q876" t="s">
        <v>18</v>
      </c>
      <c r="R876" t="s">
        <v>43</v>
      </c>
    </row>
    <row r="877" spans="1:18" x14ac:dyDescent="0.35">
      <c r="A877">
        <v>1038</v>
      </c>
      <c r="B877" s="1">
        <v>45092</v>
      </c>
      <c r="C877" s="1" t="str">
        <f>TEXT(Sales[[#This Row],[Sale_Date]],"YYYY")</f>
        <v>2023</v>
      </c>
      <c r="D877" s="1" t="str">
        <f>TEXT(Sales[[#This Row],[Sale_Date]],"MMMM")</f>
        <v>June</v>
      </c>
      <c r="E877" s="1" t="str">
        <f>TEXT(Sales[[#This Row],[Sale_Date]],"DDDD")</f>
        <v>Thursday</v>
      </c>
      <c r="F877" t="s">
        <v>41</v>
      </c>
      <c r="G877" t="s">
        <v>20</v>
      </c>
      <c r="H877" s="2">
        <v>2758.77</v>
      </c>
      <c r="I877">
        <v>42</v>
      </c>
      <c r="J877" t="s">
        <v>25</v>
      </c>
      <c r="K877" s="2">
        <v>1089.0899999999999</v>
      </c>
      <c r="L877" s="2">
        <v>1355.44</v>
      </c>
      <c r="M877" t="s">
        <v>29</v>
      </c>
      <c r="N877">
        <v>0.06</v>
      </c>
      <c r="O877" s="2">
        <f>(Sales[[#This Row],[Unit_Price]]-Sales[[#This Row],[Discount]]*Sales[[#This Row],[Unit_Price]])</f>
        <v>1274.1136000000001</v>
      </c>
      <c r="P877" t="s">
        <v>17</v>
      </c>
      <c r="Q877" t="s">
        <v>21</v>
      </c>
      <c r="R877" t="s">
        <v>50</v>
      </c>
    </row>
    <row r="878" spans="1:18" x14ac:dyDescent="0.35">
      <c r="A878">
        <v>1097</v>
      </c>
      <c r="B878" s="1">
        <v>44958</v>
      </c>
      <c r="C878" s="1" t="str">
        <f>TEXT(Sales[[#This Row],[Sale_Date]],"YYYY")</f>
        <v>2023</v>
      </c>
      <c r="D878" s="1" t="str">
        <f>TEXT(Sales[[#This Row],[Sale_Date]],"MMMM")</f>
        <v>February</v>
      </c>
      <c r="E878" s="1" t="str">
        <f>TEXT(Sales[[#This Row],[Sale_Date]],"DDDD")</f>
        <v>Wednesday</v>
      </c>
      <c r="F878" t="s">
        <v>41</v>
      </c>
      <c r="G878" t="s">
        <v>20</v>
      </c>
      <c r="H878" s="2">
        <v>1099.68</v>
      </c>
      <c r="I878">
        <v>27</v>
      </c>
      <c r="J878" t="s">
        <v>34</v>
      </c>
      <c r="K878" s="2">
        <v>3955.19</v>
      </c>
      <c r="L878" s="2">
        <v>4393.68</v>
      </c>
      <c r="M878" t="s">
        <v>16</v>
      </c>
      <c r="N878">
        <v>0.04</v>
      </c>
      <c r="O878" s="2">
        <f>(Sales[[#This Row],[Unit_Price]]-Sales[[#This Row],[Discount]]*Sales[[#This Row],[Unit_Price]])</f>
        <v>4217.9328000000005</v>
      </c>
      <c r="P878" t="s">
        <v>30</v>
      </c>
      <c r="Q878" t="s">
        <v>18</v>
      </c>
      <c r="R878" t="s">
        <v>50</v>
      </c>
    </row>
    <row r="879" spans="1:18" x14ac:dyDescent="0.35">
      <c r="A879">
        <v>1088</v>
      </c>
      <c r="B879" s="1">
        <v>44937</v>
      </c>
      <c r="C879" s="1" t="str">
        <f>TEXT(Sales[[#This Row],[Sale_Date]],"YYYY")</f>
        <v>2023</v>
      </c>
      <c r="D879" s="1" t="str">
        <f>TEXT(Sales[[#This Row],[Sale_Date]],"MMMM")</f>
        <v>January</v>
      </c>
      <c r="E879" s="1" t="str">
        <f>TEXT(Sales[[#This Row],[Sale_Date]],"DDDD")</f>
        <v>Wednesday</v>
      </c>
      <c r="F879" t="s">
        <v>41</v>
      </c>
      <c r="G879" t="s">
        <v>24</v>
      </c>
      <c r="H879" s="2">
        <v>1758.16</v>
      </c>
      <c r="I879">
        <v>11</v>
      </c>
      <c r="J879" t="s">
        <v>25</v>
      </c>
      <c r="K879" s="2">
        <v>3884.13</v>
      </c>
      <c r="L879" s="2">
        <v>3915.41</v>
      </c>
      <c r="M879" t="s">
        <v>16</v>
      </c>
      <c r="N879">
        <v>0.02</v>
      </c>
      <c r="O879" s="2">
        <f>(Sales[[#This Row],[Unit_Price]]-Sales[[#This Row],[Discount]]*Sales[[#This Row],[Unit_Price]])</f>
        <v>3837.1017999999999</v>
      </c>
      <c r="P879" t="s">
        <v>17</v>
      </c>
      <c r="Q879" t="s">
        <v>18</v>
      </c>
      <c r="R879" t="s">
        <v>42</v>
      </c>
    </row>
    <row r="880" spans="1:18" x14ac:dyDescent="0.35">
      <c r="A880">
        <v>1079</v>
      </c>
      <c r="B880" s="1">
        <v>45227</v>
      </c>
      <c r="C880" s="1" t="str">
        <f>TEXT(Sales[[#This Row],[Sale_Date]],"YYYY")</f>
        <v>2023</v>
      </c>
      <c r="D880" s="1" t="str">
        <f>TEXT(Sales[[#This Row],[Sale_Date]],"MMMM")</f>
        <v>October</v>
      </c>
      <c r="E880" s="1" t="str">
        <f>TEXT(Sales[[#This Row],[Sale_Date]],"DDDD")</f>
        <v>Saturday</v>
      </c>
      <c r="F880" t="s">
        <v>13</v>
      </c>
      <c r="G880" t="s">
        <v>20</v>
      </c>
      <c r="H880" s="2">
        <v>1558.03</v>
      </c>
      <c r="I880">
        <v>38</v>
      </c>
      <c r="J880" t="s">
        <v>15</v>
      </c>
      <c r="K880" s="2">
        <v>1127.76</v>
      </c>
      <c r="L880" s="2">
        <v>1265.6600000000001</v>
      </c>
      <c r="M880" t="s">
        <v>16</v>
      </c>
      <c r="N880">
        <v>0.26</v>
      </c>
      <c r="O880" s="2">
        <f>(Sales[[#This Row],[Unit_Price]]-Sales[[#This Row],[Discount]]*Sales[[#This Row],[Unit_Price]])</f>
        <v>936.58840000000009</v>
      </c>
      <c r="P880" t="s">
        <v>26</v>
      </c>
      <c r="Q880" t="s">
        <v>21</v>
      </c>
      <c r="R880" t="s">
        <v>22</v>
      </c>
    </row>
    <row r="881" spans="1:18" x14ac:dyDescent="0.35">
      <c r="A881">
        <v>1030</v>
      </c>
      <c r="B881" s="1">
        <v>45143</v>
      </c>
      <c r="C881" s="1" t="str">
        <f>TEXT(Sales[[#This Row],[Sale_Date]],"YYYY")</f>
        <v>2023</v>
      </c>
      <c r="D881" s="1" t="str">
        <f>TEXT(Sales[[#This Row],[Sale_Date]],"MMMM")</f>
        <v>August</v>
      </c>
      <c r="E881" s="1" t="str">
        <f>TEXT(Sales[[#This Row],[Sale_Date]],"DDDD")</f>
        <v>Saturday</v>
      </c>
      <c r="F881" t="s">
        <v>13</v>
      </c>
      <c r="G881" t="s">
        <v>20</v>
      </c>
      <c r="H881" s="2">
        <v>9733.4599999999991</v>
      </c>
      <c r="I881">
        <v>34</v>
      </c>
      <c r="J881" t="s">
        <v>34</v>
      </c>
      <c r="K881" s="2">
        <v>3125.07</v>
      </c>
      <c r="L881" s="2">
        <v>3564.19</v>
      </c>
      <c r="M881" t="s">
        <v>16</v>
      </c>
      <c r="N881">
        <v>0.09</v>
      </c>
      <c r="O881" s="2">
        <f>(Sales[[#This Row],[Unit_Price]]-Sales[[#This Row],[Discount]]*Sales[[#This Row],[Unit_Price]])</f>
        <v>3243.4129000000003</v>
      </c>
      <c r="P881" t="s">
        <v>17</v>
      </c>
      <c r="Q881" t="s">
        <v>18</v>
      </c>
      <c r="R881" t="s">
        <v>22</v>
      </c>
    </row>
    <row r="882" spans="1:18" x14ac:dyDescent="0.35">
      <c r="A882">
        <v>1051</v>
      </c>
      <c r="B882" s="1">
        <v>45215</v>
      </c>
      <c r="C882" s="1" t="str">
        <f>TEXT(Sales[[#This Row],[Sale_Date]],"YYYY")</f>
        <v>2023</v>
      </c>
      <c r="D882" s="1" t="str">
        <f>TEXT(Sales[[#This Row],[Sale_Date]],"MMMM")</f>
        <v>October</v>
      </c>
      <c r="E882" s="1" t="str">
        <f>TEXT(Sales[[#This Row],[Sale_Date]],"DDDD")</f>
        <v>Monday</v>
      </c>
      <c r="F882" t="s">
        <v>41</v>
      </c>
      <c r="G882" t="s">
        <v>20</v>
      </c>
      <c r="H882" s="2">
        <v>7617</v>
      </c>
      <c r="I882">
        <v>43</v>
      </c>
      <c r="J882" t="s">
        <v>28</v>
      </c>
      <c r="K882" s="2">
        <v>287.99</v>
      </c>
      <c r="L882" s="2">
        <v>666.64</v>
      </c>
      <c r="M882" t="s">
        <v>16</v>
      </c>
      <c r="N882">
        <v>0</v>
      </c>
      <c r="O882" s="2">
        <f>(Sales[[#This Row],[Unit_Price]]-Sales[[#This Row],[Discount]]*Sales[[#This Row],[Unit_Price]])</f>
        <v>666.64</v>
      </c>
      <c r="P882" t="s">
        <v>26</v>
      </c>
      <c r="Q882" t="s">
        <v>18</v>
      </c>
      <c r="R882" t="s">
        <v>50</v>
      </c>
    </row>
    <row r="883" spans="1:18" x14ac:dyDescent="0.35">
      <c r="A883">
        <v>1081</v>
      </c>
      <c r="B883" s="1">
        <v>45028</v>
      </c>
      <c r="C883" s="1" t="str">
        <f>TEXT(Sales[[#This Row],[Sale_Date]],"YYYY")</f>
        <v>2023</v>
      </c>
      <c r="D883" s="1" t="str">
        <f>TEXT(Sales[[#This Row],[Sale_Date]],"MMMM")</f>
        <v>April</v>
      </c>
      <c r="E883" s="1" t="str">
        <f>TEXT(Sales[[#This Row],[Sale_Date]],"DDDD")</f>
        <v>Wednesday</v>
      </c>
      <c r="F883" t="s">
        <v>13</v>
      </c>
      <c r="G883" t="s">
        <v>24</v>
      </c>
      <c r="H883" s="2">
        <v>9680.84</v>
      </c>
      <c r="I883">
        <v>19</v>
      </c>
      <c r="J883" t="s">
        <v>25</v>
      </c>
      <c r="K883" s="2">
        <v>2443.69</v>
      </c>
      <c r="L883" s="2">
        <v>2462.34</v>
      </c>
      <c r="M883" t="s">
        <v>29</v>
      </c>
      <c r="N883">
        <v>7.0000000000000007E-2</v>
      </c>
      <c r="O883" s="2">
        <f>(Sales[[#This Row],[Unit_Price]]-Sales[[#This Row],[Discount]]*Sales[[#This Row],[Unit_Price]])</f>
        <v>2289.9762000000001</v>
      </c>
      <c r="P883" t="s">
        <v>26</v>
      </c>
      <c r="Q883" t="s">
        <v>21</v>
      </c>
      <c r="R883" t="s">
        <v>31</v>
      </c>
    </row>
    <row r="884" spans="1:18" x14ac:dyDescent="0.35">
      <c r="A884">
        <v>1005</v>
      </c>
      <c r="B884" s="1">
        <v>45193</v>
      </c>
      <c r="C884" s="1" t="str">
        <f>TEXT(Sales[[#This Row],[Sale_Date]],"YYYY")</f>
        <v>2023</v>
      </c>
      <c r="D884" s="1" t="str">
        <f>TEXT(Sales[[#This Row],[Sale_Date]],"MMMM")</f>
        <v>September</v>
      </c>
      <c r="E884" s="1" t="str">
        <f>TEXT(Sales[[#This Row],[Sale_Date]],"DDDD")</f>
        <v>Sunday</v>
      </c>
      <c r="F884" t="s">
        <v>37</v>
      </c>
      <c r="G884" t="s">
        <v>24</v>
      </c>
      <c r="H884" s="2">
        <v>4453.43</v>
      </c>
      <c r="I884">
        <v>6</v>
      </c>
      <c r="J884" t="s">
        <v>25</v>
      </c>
      <c r="K884" s="2">
        <v>122.5</v>
      </c>
      <c r="L884" s="2">
        <v>385.83</v>
      </c>
      <c r="M884" t="s">
        <v>16</v>
      </c>
      <c r="N884">
        <v>0.1</v>
      </c>
      <c r="O884" s="2">
        <f>(Sales[[#This Row],[Unit_Price]]-Sales[[#This Row],[Discount]]*Sales[[#This Row],[Unit_Price]])</f>
        <v>347.24699999999996</v>
      </c>
      <c r="P884" t="s">
        <v>17</v>
      </c>
      <c r="Q884" t="s">
        <v>21</v>
      </c>
      <c r="R884" t="s">
        <v>38</v>
      </c>
    </row>
    <row r="885" spans="1:18" x14ac:dyDescent="0.35">
      <c r="A885">
        <v>1029</v>
      </c>
      <c r="B885" s="1">
        <v>45140</v>
      </c>
      <c r="C885" s="1" t="str">
        <f>TEXT(Sales[[#This Row],[Sale_Date]],"YYYY")</f>
        <v>2023</v>
      </c>
      <c r="D885" s="1" t="str">
        <f>TEXT(Sales[[#This Row],[Sale_Date]],"MMMM")</f>
        <v>August</v>
      </c>
      <c r="E885" s="1" t="str">
        <f>TEXT(Sales[[#This Row],[Sale_Date]],"DDDD")</f>
        <v>Wednesday</v>
      </c>
      <c r="F885" t="s">
        <v>37</v>
      </c>
      <c r="G885" t="s">
        <v>24</v>
      </c>
      <c r="H885" s="2">
        <v>2855.85</v>
      </c>
      <c r="I885">
        <v>46</v>
      </c>
      <c r="J885" t="s">
        <v>15</v>
      </c>
      <c r="K885" s="2">
        <v>4609.66</v>
      </c>
      <c r="L885" s="2">
        <v>4879.1499999999996</v>
      </c>
      <c r="M885" t="s">
        <v>16</v>
      </c>
      <c r="N885">
        <v>0.3</v>
      </c>
      <c r="O885" s="2">
        <f>(Sales[[#This Row],[Unit_Price]]-Sales[[#This Row],[Discount]]*Sales[[#This Row],[Unit_Price]])</f>
        <v>3415.4049999999997</v>
      </c>
      <c r="P885" t="s">
        <v>17</v>
      </c>
      <c r="Q885" t="s">
        <v>21</v>
      </c>
      <c r="R885" t="s">
        <v>38</v>
      </c>
    </row>
    <row r="886" spans="1:18" x14ac:dyDescent="0.35">
      <c r="A886">
        <v>1004</v>
      </c>
      <c r="B886" s="1">
        <v>45105</v>
      </c>
      <c r="C886" s="1" t="str">
        <f>TEXT(Sales[[#This Row],[Sale_Date]],"YYYY")</f>
        <v>2023</v>
      </c>
      <c r="D886" s="1" t="str">
        <f>TEXT(Sales[[#This Row],[Sale_Date]],"MMMM")</f>
        <v>June</v>
      </c>
      <c r="E886" s="1" t="str">
        <f>TEXT(Sales[[#This Row],[Sale_Date]],"DDDD")</f>
        <v>Wednesday</v>
      </c>
      <c r="F886" t="s">
        <v>13</v>
      </c>
      <c r="G886" t="s">
        <v>20</v>
      </c>
      <c r="H886" s="2">
        <v>8003.1</v>
      </c>
      <c r="I886">
        <v>38</v>
      </c>
      <c r="J886" t="s">
        <v>15</v>
      </c>
      <c r="K886" s="2">
        <v>4881.63</v>
      </c>
      <c r="L886" s="2">
        <v>5088.0600000000004</v>
      </c>
      <c r="M886" t="s">
        <v>16</v>
      </c>
      <c r="N886">
        <v>0.16</v>
      </c>
      <c r="O886" s="2">
        <f>(Sales[[#This Row],[Unit_Price]]-Sales[[#This Row],[Discount]]*Sales[[#This Row],[Unit_Price]])</f>
        <v>4273.9704000000002</v>
      </c>
      <c r="P886" t="s">
        <v>30</v>
      </c>
      <c r="Q886" t="s">
        <v>21</v>
      </c>
      <c r="R886" t="s">
        <v>22</v>
      </c>
    </row>
    <row r="887" spans="1:18" x14ac:dyDescent="0.35">
      <c r="A887">
        <v>1010</v>
      </c>
      <c r="B887" s="1">
        <v>45014</v>
      </c>
      <c r="C887" s="1" t="str">
        <f>TEXT(Sales[[#This Row],[Sale_Date]],"YYYY")</f>
        <v>2023</v>
      </c>
      <c r="D887" s="1" t="str">
        <f>TEXT(Sales[[#This Row],[Sale_Date]],"MMMM")</f>
        <v>March</v>
      </c>
      <c r="E887" s="1" t="str">
        <f>TEXT(Sales[[#This Row],[Sale_Date]],"DDDD")</f>
        <v>Wednesday</v>
      </c>
      <c r="F887" t="s">
        <v>41</v>
      </c>
      <c r="G887" t="s">
        <v>24</v>
      </c>
      <c r="H887" s="2">
        <v>3329.91</v>
      </c>
      <c r="I887">
        <v>49</v>
      </c>
      <c r="J887" t="s">
        <v>25</v>
      </c>
      <c r="K887" s="2">
        <v>1150.3</v>
      </c>
      <c r="L887" s="2">
        <v>1306.02</v>
      </c>
      <c r="M887" t="s">
        <v>29</v>
      </c>
      <c r="N887">
        <v>0.06</v>
      </c>
      <c r="O887" s="2">
        <f>(Sales[[#This Row],[Unit_Price]]-Sales[[#This Row],[Discount]]*Sales[[#This Row],[Unit_Price]])</f>
        <v>1227.6587999999999</v>
      </c>
      <c r="P887" t="s">
        <v>30</v>
      </c>
      <c r="Q887" t="s">
        <v>21</v>
      </c>
      <c r="R887" t="s">
        <v>42</v>
      </c>
    </row>
    <row r="888" spans="1:18" x14ac:dyDescent="0.35">
      <c r="A888">
        <v>1056</v>
      </c>
      <c r="B888" s="1">
        <v>44967</v>
      </c>
      <c r="C888" s="1" t="str">
        <f>TEXT(Sales[[#This Row],[Sale_Date]],"YYYY")</f>
        <v>2023</v>
      </c>
      <c r="D888" s="1" t="str">
        <f>TEXT(Sales[[#This Row],[Sale_Date]],"MMMM")</f>
        <v>February</v>
      </c>
      <c r="E888" s="1" t="str">
        <f>TEXT(Sales[[#This Row],[Sale_Date]],"DDDD")</f>
        <v>Friday</v>
      </c>
      <c r="F888" t="s">
        <v>13</v>
      </c>
      <c r="G888" t="s">
        <v>20</v>
      </c>
      <c r="H888" s="2">
        <v>3063.9</v>
      </c>
      <c r="I888">
        <v>42</v>
      </c>
      <c r="J888" t="s">
        <v>15</v>
      </c>
      <c r="K888" s="2">
        <v>1080.1199999999999</v>
      </c>
      <c r="L888" s="2">
        <v>1424.1699999999901</v>
      </c>
      <c r="M888" t="s">
        <v>29</v>
      </c>
      <c r="N888">
        <v>0.1</v>
      </c>
      <c r="O888" s="2">
        <f>(Sales[[#This Row],[Unit_Price]]-Sales[[#This Row],[Discount]]*Sales[[#This Row],[Unit_Price]])</f>
        <v>1281.7529999999911</v>
      </c>
      <c r="P888" t="s">
        <v>17</v>
      </c>
      <c r="Q888" t="s">
        <v>18</v>
      </c>
      <c r="R888" t="s">
        <v>22</v>
      </c>
    </row>
    <row r="889" spans="1:18" x14ac:dyDescent="0.35">
      <c r="A889">
        <v>1017</v>
      </c>
      <c r="B889" s="1">
        <v>45002</v>
      </c>
      <c r="C889" s="1" t="str">
        <f>TEXT(Sales[[#This Row],[Sale_Date]],"YYYY")</f>
        <v>2023</v>
      </c>
      <c r="D889" s="1" t="str">
        <f>TEXT(Sales[[#This Row],[Sale_Date]],"MMMM")</f>
        <v>March</v>
      </c>
      <c r="E889" s="1" t="str">
        <f>TEXT(Sales[[#This Row],[Sale_Date]],"DDDD")</f>
        <v>Friday</v>
      </c>
      <c r="F889" t="s">
        <v>13</v>
      </c>
      <c r="G889" t="s">
        <v>14</v>
      </c>
      <c r="H889" s="2">
        <v>2401.81</v>
      </c>
      <c r="I889">
        <v>28</v>
      </c>
      <c r="J889" t="s">
        <v>28</v>
      </c>
      <c r="K889" s="2">
        <v>3780.91</v>
      </c>
      <c r="L889" s="2">
        <v>3892.73</v>
      </c>
      <c r="M889" t="s">
        <v>16</v>
      </c>
      <c r="N889">
        <v>0.1</v>
      </c>
      <c r="O889" s="2">
        <f>(Sales[[#This Row],[Unit_Price]]-Sales[[#This Row],[Discount]]*Sales[[#This Row],[Unit_Price]])</f>
        <v>3503.4569999999999</v>
      </c>
      <c r="P889" t="s">
        <v>17</v>
      </c>
      <c r="Q889" t="s">
        <v>21</v>
      </c>
      <c r="R889" t="s">
        <v>19</v>
      </c>
    </row>
    <row r="890" spans="1:18" x14ac:dyDescent="0.35">
      <c r="A890">
        <v>1074</v>
      </c>
      <c r="B890" s="1">
        <v>44972</v>
      </c>
      <c r="C890" s="1" t="str">
        <f>TEXT(Sales[[#This Row],[Sale_Date]],"YYYY")</f>
        <v>2023</v>
      </c>
      <c r="D890" s="1" t="str">
        <f>TEXT(Sales[[#This Row],[Sale_Date]],"MMMM")</f>
        <v>February</v>
      </c>
      <c r="E890" s="1" t="str">
        <f>TEXT(Sales[[#This Row],[Sale_Date]],"DDDD")</f>
        <v>Wednesday</v>
      </c>
      <c r="F890" t="s">
        <v>13</v>
      </c>
      <c r="G890" t="s">
        <v>20</v>
      </c>
      <c r="H890" s="2">
        <v>1383.82</v>
      </c>
      <c r="I890">
        <v>1</v>
      </c>
      <c r="J890" t="s">
        <v>15</v>
      </c>
      <c r="K890" s="2">
        <v>1304.23</v>
      </c>
      <c r="L890" s="2">
        <v>1705.71</v>
      </c>
      <c r="M890" t="s">
        <v>16</v>
      </c>
      <c r="N890">
        <v>0.01</v>
      </c>
      <c r="O890" s="2">
        <f>(Sales[[#This Row],[Unit_Price]]-Sales[[#This Row],[Discount]]*Sales[[#This Row],[Unit_Price]])</f>
        <v>1688.6529</v>
      </c>
      <c r="P890" t="s">
        <v>17</v>
      </c>
      <c r="Q890" t="s">
        <v>21</v>
      </c>
      <c r="R890" t="s">
        <v>22</v>
      </c>
    </row>
    <row r="891" spans="1:18" x14ac:dyDescent="0.35">
      <c r="A891">
        <v>1017</v>
      </c>
      <c r="B891" s="1">
        <v>45086</v>
      </c>
      <c r="C891" s="1" t="str">
        <f>TEXT(Sales[[#This Row],[Sale_Date]],"YYYY")</f>
        <v>2023</v>
      </c>
      <c r="D891" s="1" t="str">
        <f>TEXT(Sales[[#This Row],[Sale_Date]],"MMMM")</f>
        <v>June</v>
      </c>
      <c r="E891" s="1" t="str">
        <f>TEXT(Sales[[#This Row],[Sale_Date]],"DDDD")</f>
        <v>Friday</v>
      </c>
      <c r="F891" t="s">
        <v>32</v>
      </c>
      <c r="G891" t="s">
        <v>33</v>
      </c>
      <c r="H891" s="2">
        <v>2638.98</v>
      </c>
      <c r="I891">
        <v>35</v>
      </c>
      <c r="J891" t="s">
        <v>15</v>
      </c>
      <c r="K891" s="2">
        <v>4480.63</v>
      </c>
      <c r="L891" s="2">
        <v>4884.12</v>
      </c>
      <c r="M891" t="s">
        <v>29</v>
      </c>
      <c r="N891">
        <v>0.04</v>
      </c>
      <c r="O891" s="2">
        <f>(Sales[[#This Row],[Unit_Price]]-Sales[[#This Row],[Discount]]*Sales[[#This Row],[Unit_Price]])</f>
        <v>4688.7551999999996</v>
      </c>
      <c r="P891" t="s">
        <v>17</v>
      </c>
      <c r="Q891" t="s">
        <v>18</v>
      </c>
      <c r="R891" t="s">
        <v>35</v>
      </c>
    </row>
    <row r="892" spans="1:18" x14ac:dyDescent="0.35">
      <c r="A892">
        <v>1084</v>
      </c>
      <c r="B892" s="1">
        <v>45006</v>
      </c>
      <c r="C892" s="1" t="str">
        <f>TEXT(Sales[[#This Row],[Sale_Date]],"YYYY")</f>
        <v>2023</v>
      </c>
      <c r="D892" s="1" t="str">
        <f>TEXT(Sales[[#This Row],[Sale_Date]],"MMMM")</f>
        <v>March</v>
      </c>
      <c r="E892" s="1" t="str">
        <f>TEXT(Sales[[#This Row],[Sale_Date]],"DDDD")</f>
        <v>Tuesday</v>
      </c>
      <c r="F892" t="s">
        <v>37</v>
      </c>
      <c r="G892" t="s">
        <v>24</v>
      </c>
      <c r="H892" s="2">
        <v>3617.67</v>
      </c>
      <c r="I892">
        <v>40</v>
      </c>
      <c r="J892" t="s">
        <v>25</v>
      </c>
      <c r="K892" s="2">
        <v>2890.95</v>
      </c>
      <c r="L892" s="2">
        <v>3104.43</v>
      </c>
      <c r="M892" t="s">
        <v>29</v>
      </c>
      <c r="N892">
        <v>0.21</v>
      </c>
      <c r="O892" s="2">
        <f>(Sales[[#This Row],[Unit_Price]]-Sales[[#This Row],[Discount]]*Sales[[#This Row],[Unit_Price]])</f>
        <v>2452.4996999999998</v>
      </c>
      <c r="P892" t="s">
        <v>26</v>
      </c>
      <c r="Q892" t="s">
        <v>18</v>
      </c>
      <c r="R892" t="s">
        <v>38</v>
      </c>
    </row>
    <row r="893" spans="1:18" x14ac:dyDescent="0.35">
      <c r="A893">
        <v>1088</v>
      </c>
      <c r="B893" s="1">
        <v>45236</v>
      </c>
      <c r="C893" s="1" t="str">
        <f>TEXT(Sales[[#This Row],[Sale_Date]],"YYYY")</f>
        <v>2023</v>
      </c>
      <c r="D893" s="1" t="str">
        <f>TEXT(Sales[[#This Row],[Sale_Date]],"MMMM")</f>
        <v>November</v>
      </c>
      <c r="E893" s="1" t="str">
        <f>TEXT(Sales[[#This Row],[Sale_Date]],"DDDD")</f>
        <v>Monday</v>
      </c>
      <c r="F893" t="s">
        <v>23</v>
      </c>
      <c r="G893" t="s">
        <v>24</v>
      </c>
      <c r="H893" s="2">
        <v>6772.54</v>
      </c>
      <c r="I893">
        <v>8</v>
      </c>
      <c r="J893" t="s">
        <v>25</v>
      </c>
      <c r="K893" s="2">
        <v>1786.35</v>
      </c>
      <c r="L893" s="2">
        <v>1935.29</v>
      </c>
      <c r="M893" t="s">
        <v>29</v>
      </c>
      <c r="N893">
        <v>0.04</v>
      </c>
      <c r="O893" s="2">
        <f>(Sales[[#This Row],[Unit_Price]]-Sales[[#This Row],[Discount]]*Sales[[#This Row],[Unit_Price]])</f>
        <v>1857.8784000000001</v>
      </c>
      <c r="P893" t="s">
        <v>17</v>
      </c>
      <c r="Q893" t="s">
        <v>18</v>
      </c>
      <c r="R893" t="s">
        <v>27</v>
      </c>
    </row>
    <row r="894" spans="1:18" x14ac:dyDescent="0.35">
      <c r="A894">
        <v>1069</v>
      </c>
      <c r="B894" s="1">
        <v>45012</v>
      </c>
      <c r="C894" s="1" t="str">
        <f>TEXT(Sales[[#This Row],[Sale_Date]],"YYYY")</f>
        <v>2023</v>
      </c>
      <c r="D894" s="1" t="str">
        <f>TEXT(Sales[[#This Row],[Sale_Date]],"MMMM")</f>
        <v>March</v>
      </c>
      <c r="E894" s="1" t="str">
        <f>TEXT(Sales[[#This Row],[Sale_Date]],"DDDD")</f>
        <v>Monday</v>
      </c>
      <c r="F894" t="s">
        <v>23</v>
      </c>
      <c r="G894" t="s">
        <v>33</v>
      </c>
      <c r="H894" s="2">
        <v>719.39</v>
      </c>
      <c r="I894">
        <v>47</v>
      </c>
      <c r="J894" t="s">
        <v>34</v>
      </c>
      <c r="K894" s="2">
        <v>4171.83</v>
      </c>
      <c r="L894" s="2">
        <v>4320.93</v>
      </c>
      <c r="M894" t="s">
        <v>29</v>
      </c>
      <c r="N894">
        <v>7.0000000000000007E-2</v>
      </c>
      <c r="O894" s="2">
        <f>(Sales[[#This Row],[Unit_Price]]-Sales[[#This Row],[Discount]]*Sales[[#This Row],[Unit_Price]])</f>
        <v>4018.4649000000004</v>
      </c>
      <c r="P894" t="s">
        <v>17</v>
      </c>
      <c r="Q894" t="s">
        <v>18</v>
      </c>
      <c r="R894" t="s">
        <v>49</v>
      </c>
    </row>
    <row r="895" spans="1:18" x14ac:dyDescent="0.35">
      <c r="A895">
        <v>1034</v>
      </c>
      <c r="B895" s="1">
        <v>45018</v>
      </c>
      <c r="C895" s="1" t="str">
        <f>TEXT(Sales[[#This Row],[Sale_Date]],"YYYY")</f>
        <v>2023</v>
      </c>
      <c r="D895" s="1" t="str">
        <f>TEXT(Sales[[#This Row],[Sale_Date]],"MMMM")</f>
        <v>April</v>
      </c>
      <c r="E895" s="1" t="str">
        <f>TEXT(Sales[[#This Row],[Sale_Date]],"DDDD")</f>
        <v>Sunday</v>
      </c>
      <c r="F895" t="s">
        <v>32</v>
      </c>
      <c r="G895" t="s">
        <v>20</v>
      </c>
      <c r="H895" s="2">
        <v>2184.02</v>
      </c>
      <c r="I895">
        <v>7</v>
      </c>
      <c r="J895" t="s">
        <v>34</v>
      </c>
      <c r="K895" s="2">
        <v>2492.36</v>
      </c>
      <c r="L895" s="2">
        <v>2738.68</v>
      </c>
      <c r="M895" t="s">
        <v>16</v>
      </c>
      <c r="N895">
        <v>0.11</v>
      </c>
      <c r="O895" s="2">
        <f>(Sales[[#This Row],[Unit_Price]]-Sales[[#This Row],[Discount]]*Sales[[#This Row],[Unit_Price]])</f>
        <v>2437.4251999999997</v>
      </c>
      <c r="P895" t="s">
        <v>17</v>
      </c>
      <c r="Q895" t="s">
        <v>18</v>
      </c>
      <c r="R895" t="s">
        <v>36</v>
      </c>
    </row>
    <row r="896" spans="1:18" x14ac:dyDescent="0.35">
      <c r="A896">
        <v>1006</v>
      </c>
      <c r="B896" s="1">
        <v>45074</v>
      </c>
      <c r="C896" s="1" t="str">
        <f>TEXT(Sales[[#This Row],[Sale_Date]],"YYYY")</f>
        <v>2023</v>
      </c>
      <c r="D896" s="1" t="str">
        <f>TEXT(Sales[[#This Row],[Sale_Date]],"MMMM")</f>
        <v>May</v>
      </c>
      <c r="E896" s="1" t="str">
        <f>TEXT(Sales[[#This Row],[Sale_Date]],"DDDD")</f>
        <v>Sunday</v>
      </c>
      <c r="F896" t="s">
        <v>13</v>
      </c>
      <c r="G896" t="s">
        <v>14</v>
      </c>
      <c r="H896" s="2">
        <v>8109.33</v>
      </c>
      <c r="I896">
        <v>11</v>
      </c>
      <c r="J896" t="s">
        <v>25</v>
      </c>
      <c r="K896" s="2">
        <v>4562.58</v>
      </c>
      <c r="L896" s="2">
        <v>4925.17</v>
      </c>
      <c r="M896" t="s">
        <v>29</v>
      </c>
      <c r="N896">
        <v>0.23</v>
      </c>
      <c r="O896" s="2">
        <f>(Sales[[#This Row],[Unit_Price]]-Sales[[#This Row],[Discount]]*Sales[[#This Row],[Unit_Price]])</f>
        <v>3792.3809000000001</v>
      </c>
      <c r="P896" t="s">
        <v>17</v>
      </c>
      <c r="Q896" t="s">
        <v>21</v>
      </c>
      <c r="R896" t="s">
        <v>19</v>
      </c>
    </row>
    <row r="897" spans="1:18" x14ac:dyDescent="0.35">
      <c r="A897">
        <v>1053</v>
      </c>
      <c r="B897" s="1">
        <v>45087</v>
      </c>
      <c r="C897" s="1" t="str">
        <f>TEXT(Sales[[#This Row],[Sale_Date]],"YYYY")</f>
        <v>2023</v>
      </c>
      <c r="D897" s="1" t="str">
        <f>TEXT(Sales[[#This Row],[Sale_Date]],"MMMM")</f>
        <v>June</v>
      </c>
      <c r="E897" s="1" t="str">
        <f>TEXT(Sales[[#This Row],[Sale_Date]],"DDDD")</f>
        <v>Saturday</v>
      </c>
      <c r="F897" t="s">
        <v>32</v>
      </c>
      <c r="G897" t="s">
        <v>33</v>
      </c>
      <c r="H897" s="2">
        <v>1554.53</v>
      </c>
      <c r="I897">
        <v>39</v>
      </c>
      <c r="J897" t="s">
        <v>15</v>
      </c>
      <c r="K897" s="2">
        <v>4643.67</v>
      </c>
      <c r="L897" s="2">
        <v>4829.5200000000004</v>
      </c>
      <c r="M897" t="s">
        <v>16</v>
      </c>
      <c r="N897">
        <v>0.17</v>
      </c>
      <c r="O897" s="2">
        <f>(Sales[[#This Row],[Unit_Price]]-Sales[[#This Row],[Discount]]*Sales[[#This Row],[Unit_Price]])</f>
        <v>4008.5016000000005</v>
      </c>
      <c r="P897" t="s">
        <v>26</v>
      </c>
      <c r="Q897" t="s">
        <v>18</v>
      </c>
      <c r="R897" t="s">
        <v>35</v>
      </c>
    </row>
    <row r="898" spans="1:18" x14ac:dyDescent="0.35">
      <c r="A898">
        <v>1066</v>
      </c>
      <c r="B898" s="1">
        <v>45128</v>
      </c>
      <c r="C898" s="1" t="str">
        <f>TEXT(Sales[[#This Row],[Sale_Date]],"YYYY")</f>
        <v>2023</v>
      </c>
      <c r="D898" s="1" t="str">
        <f>TEXT(Sales[[#This Row],[Sale_Date]],"MMMM")</f>
        <v>July</v>
      </c>
      <c r="E898" s="1" t="str">
        <f>TEXT(Sales[[#This Row],[Sale_Date]],"DDDD")</f>
        <v>Friday</v>
      </c>
      <c r="F898" t="s">
        <v>32</v>
      </c>
      <c r="G898" t="s">
        <v>33</v>
      </c>
      <c r="H898" s="2">
        <v>3492.19</v>
      </c>
      <c r="I898">
        <v>4</v>
      </c>
      <c r="J898" t="s">
        <v>15</v>
      </c>
      <c r="K898" s="2">
        <v>868.83</v>
      </c>
      <c r="L898" s="2">
        <v>1177.75</v>
      </c>
      <c r="M898" t="s">
        <v>16</v>
      </c>
      <c r="N898">
        <v>0.21</v>
      </c>
      <c r="O898" s="2">
        <f>(Sales[[#This Row],[Unit_Price]]-Sales[[#This Row],[Discount]]*Sales[[#This Row],[Unit_Price]])</f>
        <v>930.42250000000001</v>
      </c>
      <c r="P898" t="s">
        <v>30</v>
      </c>
      <c r="Q898" t="s">
        <v>21</v>
      </c>
      <c r="R898" t="s">
        <v>35</v>
      </c>
    </row>
    <row r="899" spans="1:18" x14ac:dyDescent="0.35">
      <c r="A899">
        <v>1077</v>
      </c>
      <c r="B899" s="1">
        <v>45168</v>
      </c>
      <c r="C899" s="1" t="str">
        <f>TEXT(Sales[[#This Row],[Sale_Date]],"YYYY")</f>
        <v>2023</v>
      </c>
      <c r="D899" s="1" t="str">
        <f>TEXT(Sales[[#This Row],[Sale_Date]],"MMMM")</f>
        <v>August</v>
      </c>
      <c r="E899" s="1" t="str">
        <f>TEXT(Sales[[#This Row],[Sale_Date]],"DDDD")</f>
        <v>Wednesday</v>
      </c>
      <c r="F899" t="s">
        <v>41</v>
      </c>
      <c r="G899" t="s">
        <v>20</v>
      </c>
      <c r="H899" s="2">
        <v>8660.1200000000008</v>
      </c>
      <c r="I899">
        <v>25</v>
      </c>
      <c r="J899" t="s">
        <v>34</v>
      </c>
      <c r="K899" s="2">
        <v>61.5</v>
      </c>
      <c r="L899" s="2">
        <v>258.91999999999899</v>
      </c>
      <c r="M899" t="s">
        <v>29</v>
      </c>
      <c r="N899">
        <v>0.17</v>
      </c>
      <c r="O899" s="2">
        <f>(Sales[[#This Row],[Unit_Price]]-Sales[[#This Row],[Discount]]*Sales[[#This Row],[Unit_Price]])</f>
        <v>214.90359999999916</v>
      </c>
      <c r="P899" t="s">
        <v>30</v>
      </c>
      <c r="Q899" t="s">
        <v>18</v>
      </c>
      <c r="R899" t="s">
        <v>50</v>
      </c>
    </row>
    <row r="900" spans="1:18" x14ac:dyDescent="0.35">
      <c r="A900">
        <v>1043</v>
      </c>
      <c r="B900" s="1">
        <v>45279</v>
      </c>
      <c r="C900" s="1" t="str">
        <f>TEXT(Sales[[#This Row],[Sale_Date]],"YYYY")</f>
        <v>2023</v>
      </c>
      <c r="D900" s="1" t="str">
        <f>TEXT(Sales[[#This Row],[Sale_Date]],"MMMM")</f>
        <v>December</v>
      </c>
      <c r="E900" s="1" t="str">
        <f>TEXT(Sales[[#This Row],[Sale_Date]],"DDDD")</f>
        <v>Tuesday</v>
      </c>
      <c r="F900" t="s">
        <v>37</v>
      </c>
      <c r="G900" t="s">
        <v>24</v>
      </c>
      <c r="H900" s="2">
        <v>1633.76</v>
      </c>
      <c r="I900">
        <v>12</v>
      </c>
      <c r="J900" t="s">
        <v>34</v>
      </c>
      <c r="K900" s="2">
        <v>4920.46</v>
      </c>
      <c r="L900" s="2">
        <v>5079.68</v>
      </c>
      <c r="M900" t="s">
        <v>29</v>
      </c>
      <c r="N900">
        <v>0.21</v>
      </c>
      <c r="O900" s="2">
        <f>(Sales[[#This Row],[Unit_Price]]-Sales[[#This Row],[Discount]]*Sales[[#This Row],[Unit_Price]])</f>
        <v>4012.9472000000005</v>
      </c>
      <c r="P900" t="s">
        <v>30</v>
      </c>
      <c r="Q900" t="s">
        <v>21</v>
      </c>
      <c r="R900" t="s">
        <v>38</v>
      </c>
    </row>
    <row r="901" spans="1:18" x14ac:dyDescent="0.35">
      <c r="A901">
        <v>1075</v>
      </c>
      <c r="B901" s="1">
        <v>44928</v>
      </c>
      <c r="C901" s="1" t="str">
        <f>TEXT(Sales[[#This Row],[Sale_Date]],"YYYY")</f>
        <v>2023</v>
      </c>
      <c r="D901" s="1" t="str">
        <f>TEXT(Sales[[#This Row],[Sale_Date]],"MMMM")</f>
        <v>January</v>
      </c>
      <c r="E901" s="1" t="str">
        <f>TEXT(Sales[[#This Row],[Sale_Date]],"DDDD")</f>
        <v>Monday</v>
      </c>
      <c r="F901" t="s">
        <v>23</v>
      </c>
      <c r="G901" t="s">
        <v>20</v>
      </c>
      <c r="H901" s="2">
        <v>919.09</v>
      </c>
      <c r="I901">
        <v>26</v>
      </c>
      <c r="J901" t="s">
        <v>34</v>
      </c>
      <c r="K901" s="2">
        <v>4535.38</v>
      </c>
      <c r="L901" s="2">
        <v>4557.5600000000004</v>
      </c>
      <c r="M901" t="s">
        <v>29</v>
      </c>
      <c r="N901">
        <v>0</v>
      </c>
      <c r="O901" s="2">
        <f>(Sales[[#This Row],[Unit_Price]]-Sales[[#This Row],[Discount]]*Sales[[#This Row],[Unit_Price]])</f>
        <v>4557.5600000000004</v>
      </c>
      <c r="P901" t="s">
        <v>30</v>
      </c>
      <c r="Q901" t="s">
        <v>18</v>
      </c>
      <c r="R901" t="s">
        <v>46</v>
      </c>
    </row>
    <row r="902" spans="1:18" x14ac:dyDescent="0.35">
      <c r="A902">
        <v>1023</v>
      </c>
      <c r="B902" s="1">
        <v>45151</v>
      </c>
      <c r="C902" s="1" t="str">
        <f>TEXT(Sales[[#This Row],[Sale_Date]],"YYYY")</f>
        <v>2023</v>
      </c>
      <c r="D902" s="1" t="str">
        <f>TEXT(Sales[[#This Row],[Sale_Date]],"MMMM")</f>
        <v>August</v>
      </c>
      <c r="E902" s="1" t="str">
        <f>TEXT(Sales[[#This Row],[Sale_Date]],"DDDD")</f>
        <v>Sunday</v>
      </c>
      <c r="F902" t="s">
        <v>13</v>
      </c>
      <c r="G902" t="s">
        <v>33</v>
      </c>
      <c r="H902" s="2">
        <v>4896.93</v>
      </c>
      <c r="I902">
        <v>38</v>
      </c>
      <c r="J902" t="s">
        <v>28</v>
      </c>
      <c r="K902" s="2">
        <v>324.45</v>
      </c>
      <c r="L902" s="2">
        <v>336.37</v>
      </c>
      <c r="M902" t="s">
        <v>29</v>
      </c>
      <c r="N902">
        <v>0.28000000000000003</v>
      </c>
      <c r="O902" s="2">
        <f>(Sales[[#This Row],[Unit_Price]]-Sales[[#This Row],[Discount]]*Sales[[#This Row],[Unit_Price]])</f>
        <v>242.18639999999999</v>
      </c>
      <c r="P902" t="s">
        <v>30</v>
      </c>
      <c r="Q902" t="s">
        <v>21</v>
      </c>
      <c r="R902" t="s">
        <v>45</v>
      </c>
    </row>
    <row r="903" spans="1:18" x14ac:dyDescent="0.35">
      <c r="A903">
        <v>1055</v>
      </c>
      <c r="B903" s="1">
        <v>45215</v>
      </c>
      <c r="C903" s="1" t="str">
        <f>TEXT(Sales[[#This Row],[Sale_Date]],"YYYY")</f>
        <v>2023</v>
      </c>
      <c r="D903" s="1" t="str">
        <f>TEXT(Sales[[#This Row],[Sale_Date]],"MMMM")</f>
        <v>October</v>
      </c>
      <c r="E903" s="1" t="str">
        <f>TEXT(Sales[[#This Row],[Sale_Date]],"DDDD")</f>
        <v>Monday</v>
      </c>
      <c r="F903" t="s">
        <v>23</v>
      </c>
      <c r="G903" t="s">
        <v>33</v>
      </c>
      <c r="H903" s="2">
        <v>3093.95</v>
      </c>
      <c r="I903">
        <v>46</v>
      </c>
      <c r="J903" t="s">
        <v>28</v>
      </c>
      <c r="K903" s="2">
        <v>4173.5200000000004</v>
      </c>
      <c r="L903" s="2">
        <v>4294.8500000000004</v>
      </c>
      <c r="M903" t="s">
        <v>16</v>
      </c>
      <c r="N903">
        <v>0.03</v>
      </c>
      <c r="O903" s="2">
        <f>(Sales[[#This Row],[Unit_Price]]-Sales[[#This Row],[Discount]]*Sales[[#This Row],[Unit_Price]])</f>
        <v>4166.0045</v>
      </c>
      <c r="P903" t="s">
        <v>26</v>
      </c>
      <c r="Q903" t="s">
        <v>21</v>
      </c>
      <c r="R903" t="s">
        <v>49</v>
      </c>
    </row>
    <row r="904" spans="1:18" x14ac:dyDescent="0.35">
      <c r="A904">
        <v>1080</v>
      </c>
      <c r="B904" s="1">
        <v>45159</v>
      </c>
      <c r="C904" s="1" t="str">
        <f>TEXT(Sales[[#This Row],[Sale_Date]],"YYYY")</f>
        <v>2023</v>
      </c>
      <c r="D904" s="1" t="str">
        <f>TEXT(Sales[[#This Row],[Sale_Date]],"MMMM")</f>
        <v>August</v>
      </c>
      <c r="E904" s="1" t="str">
        <f>TEXT(Sales[[#This Row],[Sale_Date]],"DDDD")</f>
        <v>Monday</v>
      </c>
      <c r="F904" t="s">
        <v>23</v>
      </c>
      <c r="G904" t="s">
        <v>24</v>
      </c>
      <c r="H904" s="2">
        <v>5677.74</v>
      </c>
      <c r="I904">
        <v>12</v>
      </c>
      <c r="J904" t="s">
        <v>34</v>
      </c>
      <c r="K904" s="2">
        <v>2316.13</v>
      </c>
      <c r="L904" s="2">
        <v>2525.27</v>
      </c>
      <c r="M904" t="s">
        <v>16</v>
      </c>
      <c r="N904">
        <v>0.12</v>
      </c>
      <c r="O904" s="2">
        <f>(Sales[[#This Row],[Unit_Price]]-Sales[[#This Row],[Discount]]*Sales[[#This Row],[Unit_Price]])</f>
        <v>2222.2375999999999</v>
      </c>
      <c r="P904" t="s">
        <v>30</v>
      </c>
      <c r="Q904" t="s">
        <v>21</v>
      </c>
      <c r="R904" t="s">
        <v>27</v>
      </c>
    </row>
    <row r="905" spans="1:18" x14ac:dyDescent="0.35">
      <c r="A905">
        <v>1095</v>
      </c>
      <c r="B905" s="1">
        <v>45003</v>
      </c>
      <c r="C905" s="1" t="str">
        <f>TEXT(Sales[[#This Row],[Sale_Date]],"YYYY")</f>
        <v>2023</v>
      </c>
      <c r="D905" s="1" t="str">
        <f>TEXT(Sales[[#This Row],[Sale_Date]],"MMMM")</f>
        <v>March</v>
      </c>
      <c r="E905" s="1" t="str">
        <f>TEXT(Sales[[#This Row],[Sale_Date]],"DDDD")</f>
        <v>Saturday</v>
      </c>
      <c r="F905" t="s">
        <v>37</v>
      </c>
      <c r="G905" t="s">
        <v>24</v>
      </c>
      <c r="H905" s="2">
        <v>8057.67</v>
      </c>
      <c r="I905">
        <v>43</v>
      </c>
      <c r="J905" t="s">
        <v>15</v>
      </c>
      <c r="K905" s="2">
        <v>1331.86</v>
      </c>
      <c r="L905" s="2">
        <v>1758.98</v>
      </c>
      <c r="M905" t="s">
        <v>16</v>
      </c>
      <c r="N905">
        <v>0.23</v>
      </c>
      <c r="O905" s="2">
        <f>(Sales[[#This Row],[Unit_Price]]-Sales[[#This Row],[Discount]]*Sales[[#This Row],[Unit_Price]])</f>
        <v>1354.4146000000001</v>
      </c>
      <c r="P905" t="s">
        <v>26</v>
      </c>
      <c r="Q905" t="s">
        <v>21</v>
      </c>
      <c r="R905" t="s">
        <v>38</v>
      </c>
    </row>
    <row r="906" spans="1:18" x14ac:dyDescent="0.35">
      <c r="A906">
        <v>1075</v>
      </c>
      <c r="B906" s="1">
        <v>45042</v>
      </c>
      <c r="C906" s="1" t="str">
        <f>TEXT(Sales[[#This Row],[Sale_Date]],"YYYY")</f>
        <v>2023</v>
      </c>
      <c r="D906" s="1" t="str">
        <f>TEXT(Sales[[#This Row],[Sale_Date]],"MMMM")</f>
        <v>April</v>
      </c>
      <c r="E906" s="1" t="str">
        <f>TEXT(Sales[[#This Row],[Sale_Date]],"DDDD")</f>
        <v>Wednesday</v>
      </c>
      <c r="F906" t="s">
        <v>23</v>
      </c>
      <c r="G906" t="s">
        <v>24</v>
      </c>
      <c r="H906" s="2">
        <v>1457.77</v>
      </c>
      <c r="I906">
        <v>37</v>
      </c>
      <c r="J906" t="s">
        <v>34</v>
      </c>
      <c r="K906" s="2">
        <v>4399.8</v>
      </c>
      <c r="L906" s="2">
        <v>4801.0600000000004</v>
      </c>
      <c r="M906" t="s">
        <v>29</v>
      </c>
      <c r="N906">
        <v>0.13</v>
      </c>
      <c r="O906" s="2">
        <f>(Sales[[#This Row],[Unit_Price]]-Sales[[#This Row],[Discount]]*Sales[[#This Row],[Unit_Price]])</f>
        <v>4176.9222</v>
      </c>
      <c r="P906" t="s">
        <v>26</v>
      </c>
      <c r="Q906" t="s">
        <v>21</v>
      </c>
      <c r="R906" t="s">
        <v>27</v>
      </c>
    </row>
    <row r="907" spans="1:18" x14ac:dyDescent="0.35">
      <c r="A907">
        <v>1016</v>
      </c>
      <c r="B907" s="1">
        <v>45080</v>
      </c>
      <c r="C907" s="1" t="str">
        <f>TEXT(Sales[[#This Row],[Sale_Date]],"YYYY")</f>
        <v>2023</v>
      </c>
      <c r="D907" s="1" t="str">
        <f>TEXT(Sales[[#This Row],[Sale_Date]],"MMMM")</f>
        <v>June</v>
      </c>
      <c r="E907" s="1" t="str">
        <f>TEXT(Sales[[#This Row],[Sale_Date]],"DDDD")</f>
        <v>Saturday</v>
      </c>
      <c r="F907" t="s">
        <v>23</v>
      </c>
      <c r="G907" t="s">
        <v>20</v>
      </c>
      <c r="H907" s="2">
        <v>5848.92</v>
      </c>
      <c r="I907">
        <v>46</v>
      </c>
      <c r="J907" t="s">
        <v>28</v>
      </c>
      <c r="K907" s="2">
        <v>1023.5</v>
      </c>
      <c r="L907" s="2">
        <v>1164.4100000000001</v>
      </c>
      <c r="M907" t="s">
        <v>16</v>
      </c>
      <c r="N907">
        <v>0.28000000000000003</v>
      </c>
      <c r="O907" s="2">
        <f>(Sales[[#This Row],[Unit_Price]]-Sales[[#This Row],[Discount]]*Sales[[#This Row],[Unit_Price]])</f>
        <v>838.37519999999995</v>
      </c>
      <c r="P907" t="s">
        <v>30</v>
      </c>
      <c r="Q907" t="s">
        <v>21</v>
      </c>
      <c r="R907" t="s">
        <v>46</v>
      </c>
    </row>
    <row r="908" spans="1:18" x14ac:dyDescent="0.35">
      <c r="A908">
        <v>1008</v>
      </c>
      <c r="B908" s="1">
        <v>45029</v>
      </c>
      <c r="C908" s="1" t="str">
        <f>TEXT(Sales[[#This Row],[Sale_Date]],"YYYY")</f>
        <v>2023</v>
      </c>
      <c r="D908" s="1" t="str">
        <f>TEXT(Sales[[#This Row],[Sale_Date]],"MMMM")</f>
        <v>April</v>
      </c>
      <c r="E908" s="1" t="str">
        <f>TEXT(Sales[[#This Row],[Sale_Date]],"DDDD")</f>
        <v>Thursday</v>
      </c>
      <c r="F908" t="s">
        <v>32</v>
      </c>
      <c r="G908" t="s">
        <v>24</v>
      </c>
      <c r="H908" s="2">
        <v>5104.54</v>
      </c>
      <c r="I908">
        <v>24</v>
      </c>
      <c r="J908" t="s">
        <v>15</v>
      </c>
      <c r="K908" s="2">
        <v>4739.13</v>
      </c>
      <c r="L908" s="2">
        <v>4868.95</v>
      </c>
      <c r="M908" t="s">
        <v>29</v>
      </c>
      <c r="N908">
        <v>0.14000000000000001</v>
      </c>
      <c r="O908" s="2">
        <f>(Sales[[#This Row],[Unit_Price]]-Sales[[#This Row],[Discount]]*Sales[[#This Row],[Unit_Price]])</f>
        <v>4187.2969999999996</v>
      </c>
      <c r="P908" t="s">
        <v>30</v>
      </c>
      <c r="Q908" t="s">
        <v>21</v>
      </c>
      <c r="R908" t="s">
        <v>43</v>
      </c>
    </row>
    <row r="909" spans="1:18" x14ac:dyDescent="0.35">
      <c r="A909">
        <v>1004</v>
      </c>
      <c r="B909" s="1">
        <v>45120</v>
      </c>
      <c r="C909" s="1" t="str">
        <f>TEXT(Sales[[#This Row],[Sale_Date]],"YYYY")</f>
        <v>2023</v>
      </c>
      <c r="D909" s="1" t="str">
        <f>TEXT(Sales[[#This Row],[Sale_Date]],"MMMM")</f>
        <v>July</v>
      </c>
      <c r="E909" s="1" t="str">
        <f>TEXT(Sales[[#This Row],[Sale_Date]],"DDDD")</f>
        <v>Thursday</v>
      </c>
      <c r="F909" t="s">
        <v>37</v>
      </c>
      <c r="G909" t="s">
        <v>33</v>
      </c>
      <c r="H909" s="2">
        <v>1526.38</v>
      </c>
      <c r="I909">
        <v>16</v>
      </c>
      <c r="J909" t="s">
        <v>28</v>
      </c>
      <c r="K909" s="2">
        <v>1067.83</v>
      </c>
      <c r="L909" s="2">
        <v>1189.22</v>
      </c>
      <c r="M909" t="s">
        <v>16</v>
      </c>
      <c r="N909">
        <v>0.26</v>
      </c>
      <c r="O909" s="2">
        <f>(Sales[[#This Row],[Unit_Price]]-Sales[[#This Row],[Discount]]*Sales[[#This Row],[Unit_Price]])</f>
        <v>880.02279999999996</v>
      </c>
      <c r="P909" t="s">
        <v>30</v>
      </c>
      <c r="Q909" t="s">
        <v>21</v>
      </c>
      <c r="R909" t="s">
        <v>47</v>
      </c>
    </row>
    <row r="910" spans="1:18" x14ac:dyDescent="0.35">
      <c r="A910">
        <v>1004</v>
      </c>
      <c r="B910" s="1">
        <v>45092</v>
      </c>
      <c r="C910" s="1" t="str">
        <f>TEXT(Sales[[#This Row],[Sale_Date]],"YYYY")</f>
        <v>2023</v>
      </c>
      <c r="D910" s="1" t="str">
        <f>TEXT(Sales[[#This Row],[Sale_Date]],"MMMM")</f>
        <v>June</v>
      </c>
      <c r="E910" s="1" t="str">
        <f>TEXT(Sales[[#This Row],[Sale_Date]],"DDDD")</f>
        <v>Thursday</v>
      </c>
      <c r="F910" t="s">
        <v>41</v>
      </c>
      <c r="G910" t="s">
        <v>33</v>
      </c>
      <c r="H910" s="2">
        <v>6277.59</v>
      </c>
      <c r="I910">
        <v>13</v>
      </c>
      <c r="J910" t="s">
        <v>15</v>
      </c>
      <c r="K910" s="2">
        <v>3087.73</v>
      </c>
      <c r="L910" s="2">
        <v>3263.96</v>
      </c>
      <c r="M910" t="s">
        <v>29</v>
      </c>
      <c r="N910">
        <v>0.24</v>
      </c>
      <c r="O910" s="2">
        <f>(Sales[[#This Row],[Unit_Price]]-Sales[[#This Row],[Discount]]*Sales[[#This Row],[Unit_Price]])</f>
        <v>2480.6095999999998</v>
      </c>
      <c r="P910" t="s">
        <v>17</v>
      </c>
      <c r="Q910" t="s">
        <v>21</v>
      </c>
      <c r="R910" t="s">
        <v>51</v>
      </c>
    </row>
    <row r="911" spans="1:18" x14ac:dyDescent="0.35">
      <c r="A911">
        <v>1056</v>
      </c>
      <c r="B911" s="1">
        <v>45285</v>
      </c>
      <c r="C911" s="1" t="str">
        <f>TEXT(Sales[[#This Row],[Sale_Date]],"YYYY")</f>
        <v>2023</v>
      </c>
      <c r="D911" s="1" t="str">
        <f>TEXT(Sales[[#This Row],[Sale_Date]],"MMMM")</f>
        <v>December</v>
      </c>
      <c r="E911" s="1" t="str">
        <f>TEXT(Sales[[#This Row],[Sale_Date]],"DDDD")</f>
        <v>Monday</v>
      </c>
      <c r="F911" t="s">
        <v>13</v>
      </c>
      <c r="G911" t="s">
        <v>14</v>
      </c>
      <c r="H911" s="2">
        <v>2809.04</v>
      </c>
      <c r="I911">
        <v>25</v>
      </c>
      <c r="J911" t="s">
        <v>28</v>
      </c>
      <c r="K911" s="2">
        <v>1154.28</v>
      </c>
      <c r="L911" s="2">
        <v>1408.4</v>
      </c>
      <c r="M911" t="s">
        <v>16</v>
      </c>
      <c r="N911">
        <v>0.28999999999999998</v>
      </c>
      <c r="O911" s="2">
        <f>(Sales[[#This Row],[Unit_Price]]-Sales[[#This Row],[Discount]]*Sales[[#This Row],[Unit_Price]])</f>
        <v>999.96400000000017</v>
      </c>
      <c r="P911" t="s">
        <v>26</v>
      </c>
      <c r="Q911" t="s">
        <v>21</v>
      </c>
      <c r="R911" t="s">
        <v>19</v>
      </c>
    </row>
    <row r="912" spans="1:18" x14ac:dyDescent="0.35">
      <c r="A912">
        <v>1025</v>
      </c>
      <c r="B912" s="1">
        <v>45016</v>
      </c>
      <c r="C912" s="1" t="str">
        <f>TEXT(Sales[[#This Row],[Sale_Date]],"YYYY")</f>
        <v>2023</v>
      </c>
      <c r="D912" s="1" t="str">
        <f>TEXT(Sales[[#This Row],[Sale_Date]],"MMMM")</f>
        <v>March</v>
      </c>
      <c r="E912" s="1" t="str">
        <f>TEXT(Sales[[#This Row],[Sale_Date]],"DDDD")</f>
        <v>Friday</v>
      </c>
      <c r="F912" t="s">
        <v>23</v>
      </c>
      <c r="G912" t="s">
        <v>20</v>
      </c>
      <c r="H912" s="2">
        <v>4929.5600000000004</v>
      </c>
      <c r="I912">
        <v>4</v>
      </c>
      <c r="J912" t="s">
        <v>15</v>
      </c>
      <c r="K912" s="2">
        <v>2751.06</v>
      </c>
      <c r="L912" s="2">
        <v>2976.0099999999902</v>
      </c>
      <c r="M912" t="s">
        <v>16</v>
      </c>
      <c r="N912">
        <v>0.28000000000000003</v>
      </c>
      <c r="O912" s="2">
        <f>(Sales[[#This Row],[Unit_Price]]-Sales[[#This Row],[Discount]]*Sales[[#This Row],[Unit_Price]])</f>
        <v>2142.727199999993</v>
      </c>
      <c r="P912" t="s">
        <v>30</v>
      </c>
      <c r="Q912" t="s">
        <v>18</v>
      </c>
      <c r="R912" t="s">
        <v>46</v>
      </c>
    </row>
    <row r="913" spans="1:18" x14ac:dyDescent="0.35">
      <c r="A913">
        <v>1067</v>
      </c>
      <c r="B913" s="1">
        <v>45100</v>
      </c>
      <c r="C913" s="1" t="str">
        <f>TEXT(Sales[[#This Row],[Sale_Date]],"YYYY")</f>
        <v>2023</v>
      </c>
      <c r="D913" s="1" t="str">
        <f>TEXT(Sales[[#This Row],[Sale_Date]],"MMMM")</f>
        <v>June</v>
      </c>
      <c r="E913" s="1" t="str">
        <f>TEXT(Sales[[#This Row],[Sale_Date]],"DDDD")</f>
        <v>Friday</v>
      </c>
      <c r="F913" t="s">
        <v>13</v>
      </c>
      <c r="G913" t="s">
        <v>14</v>
      </c>
      <c r="H913" s="2">
        <v>914.5</v>
      </c>
      <c r="I913">
        <v>11</v>
      </c>
      <c r="J913" t="s">
        <v>15</v>
      </c>
      <c r="K913" s="2">
        <v>3435.68</v>
      </c>
      <c r="L913" s="2">
        <v>3552.6299999999901</v>
      </c>
      <c r="M913" t="s">
        <v>29</v>
      </c>
      <c r="N913">
        <v>0.27</v>
      </c>
      <c r="O913" s="2">
        <f>(Sales[[#This Row],[Unit_Price]]-Sales[[#This Row],[Discount]]*Sales[[#This Row],[Unit_Price]])</f>
        <v>2593.4198999999926</v>
      </c>
      <c r="P913" t="s">
        <v>17</v>
      </c>
      <c r="Q913" t="s">
        <v>21</v>
      </c>
      <c r="R913" t="s">
        <v>19</v>
      </c>
    </row>
    <row r="914" spans="1:18" x14ac:dyDescent="0.35">
      <c r="A914">
        <v>1096</v>
      </c>
      <c r="B914" s="1">
        <v>45048</v>
      </c>
      <c r="C914" s="1" t="str">
        <f>TEXT(Sales[[#This Row],[Sale_Date]],"YYYY")</f>
        <v>2023</v>
      </c>
      <c r="D914" s="1" t="str">
        <f>TEXT(Sales[[#This Row],[Sale_Date]],"MMMM")</f>
        <v>May</v>
      </c>
      <c r="E914" s="1" t="str">
        <f>TEXT(Sales[[#This Row],[Sale_Date]],"DDDD")</f>
        <v>Tuesday</v>
      </c>
      <c r="F914" t="s">
        <v>41</v>
      </c>
      <c r="G914" t="s">
        <v>33</v>
      </c>
      <c r="H914" s="2">
        <v>4649.88</v>
      </c>
      <c r="I914">
        <v>32</v>
      </c>
      <c r="J914" t="s">
        <v>15</v>
      </c>
      <c r="K914" s="2">
        <v>991.63</v>
      </c>
      <c r="L914" s="2">
        <v>1065.55</v>
      </c>
      <c r="M914" t="s">
        <v>16</v>
      </c>
      <c r="N914">
        <v>0.22</v>
      </c>
      <c r="O914" s="2">
        <f>(Sales[[#This Row],[Unit_Price]]-Sales[[#This Row],[Discount]]*Sales[[#This Row],[Unit_Price]])</f>
        <v>831.12899999999991</v>
      </c>
      <c r="P914" t="s">
        <v>26</v>
      </c>
      <c r="Q914" t="s">
        <v>21</v>
      </c>
      <c r="R914" t="s">
        <v>51</v>
      </c>
    </row>
    <row r="915" spans="1:18" x14ac:dyDescent="0.35">
      <c r="A915">
        <v>1067</v>
      </c>
      <c r="B915" s="1">
        <v>45069</v>
      </c>
      <c r="C915" s="1" t="str">
        <f>TEXT(Sales[[#This Row],[Sale_Date]],"YYYY")</f>
        <v>2023</v>
      </c>
      <c r="D915" s="1" t="str">
        <f>TEXT(Sales[[#This Row],[Sale_Date]],"MMMM")</f>
        <v>May</v>
      </c>
      <c r="E915" s="1" t="str">
        <f>TEXT(Sales[[#This Row],[Sale_Date]],"DDDD")</f>
        <v>Tuesday</v>
      </c>
      <c r="F915" t="s">
        <v>13</v>
      </c>
      <c r="G915" t="s">
        <v>14</v>
      </c>
      <c r="H915" s="2">
        <v>3133.99</v>
      </c>
      <c r="I915">
        <v>49</v>
      </c>
      <c r="J915" t="s">
        <v>15</v>
      </c>
      <c r="K915" s="2">
        <v>2628.38</v>
      </c>
      <c r="L915" s="2">
        <v>2644.54</v>
      </c>
      <c r="M915" t="s">
        <v>16</v>
      </c>
      <c r="N915">
        <v>0.11</v>
      </c>
      <c r="O915" s="2">
        <f>(Sales[[#This Row],[Unit_Price]]-Sales[[#This Row],[Discount]]*Sales[[#This Row],[Unit_Price]])</f>
        <v>2353.6405999999997</v>
      </c>
      <c r="P915" t="s">
        <v>17</v>
      </c>
      <c r="Q915" t="s">
        <v>18</v>
      </c>
      <c r="R915" t="s">
        <v>19</v>
      </c>
    </row>
    <row r="916" spans="1:18" x14ac:dyDescent="0.35">
      <c r="A916">
        <v>1027</v>
      </c>
      <c r="B916" s="1">
        <v>45032</v>
      </c>
      <c r="C916" s="1" t="str">
        <f>TEXT(Sales[[#This Row],[Sale_Date]],"YYYY")</f>
        <v>2023</v>
      </c>
      <c r="D916" s="1" t="str">
        <f>TEXT(Sales[[#This Row],[Sale_Date]],"MMMM")</f>
        <v>April</v>
      </c>
      <c r="E916" s="1" t="str">
        <f>TEXT(Sales[[#This Row],[Sale_Date]],"DDDD")</f>
        <v>Sunday</v>
      </c>
      <c r="F916" t="s">
        <v>41</v>
      </c>
      <c r="G916" t="s">
        <v>33</v>
      </c>
      <c r="H916" s="2">
        <v>8241.57</v>
      </c>
      <c r="I916">
        <v>7</v>
      </c>
      <c r="J916" t="s">
        <v>25</v>
      </c>
      <c r="K916" s="2">
        <v>2371.85</v>
      </c>
      <c r="L916" s="2">
        <v>2457.29</v>
      </c>
      <c r="M916" t="s">
        <v>29</v>
      </c>
      <c r="N916">
        <v>0.03</v>
      </c>
      <c r="O916" s="2">
        <f>(Sales[[#This Row],[Unit_Price]]-Sales[[#This Row],[Discount]]*Sales[[#This Row],[Unit_Price]])</f>
        <v>2383.5713000000001</v>
      </c>
      <c r="P916" t="s">
        <v>17</v>
      </c>
      <c r="Q916" t="s">
        <v>21</v>
      </c>
      <c r="R916" t="s">
        <v>51</v>
      </c>
    </row>
    <row r="917" spans="1:18" x14ac:dyDescent="0.35">
      <c r="A917">
        <v>1093</v>
      </c>
      <c r="B917" s="1">
        <v>45231</v>
      </c>
      <c r="C917" s="1" t="str">
        <f>TEXT(Sales[[#This Row],[Sale_Date]],"YYYY")</f>
        <v>2023</v>
      </c>
      <c r="D917" s="1" t="str">
        <f>TEXT(Sales[[#This Row],[Sale_Date]],"MMMM")</f>
        <v>November</v>
      </c>
      <c r="E917" s="1" t="str">
        <f>TEXT(Sales[[#This Row],[Sale_Date]],"DDDD")</f>
        <v>Wednesday</v>
      </c>
      <c r="F917" t="s">
        <v>32</v>
      </c>
      <c r="G917" t="s">
        <v>14</v>
      </c>
      <c r="H917" s="2">
        <v>664.09</v>
      </c>
      <c r="I917">
        <v>46</v>
      </c>
      <c r="J917" t="s">
        <v>28</v>
      </c>
      <c r="K917" s="2">
        <v>401.64</v>
      </c>
      <c r="L917" s="2">
        <v>757.26</v>
      </c>
      <c r="M917" t="s">
        <v>29</v>
      </c>
      <c r="N917">
        <v>0.21</v>
      </c>
      <c r="O917" s="2">
        <f>(Sales[[#This Row],[Unit_Price]]-Sales[[#This Row],[Discount]]*Sales[[#This Row],[Unit_Price]])</f>
        <v>598.23540000000003</v>
      </c>
      <c r="P917" t="s">
        <v>30</v>
      </c>
      <c r="Q917" t="s">
        <v>21</v>
      </c>
      <c r="R917" t="s">
        <v>52</v>
      </c>
    </row>
    <row r="918" spans="1:18" x14ac:dyDescent="0.35">
      <c r="A918">
        <v>1032</v>
      </c>
      <c r="B918" s="1">
        <v>45286</v>
      </c>
      <c r="C918" s="1" t="str">
        <f>TEXT(Sales[[#This Row],[Sale_Date]],"YYYY")</f>
        <v>2023</v>
      </c>
      <c r="D918" s="1" t="str">
        <f>TEXT(Sales[[#This Row],[Sale_Date]],"MMMM")</f>
        <v>December</v>
      </c>
      <c r="E918" s="1" t="str">
        <f>TEXT(Sales[[#This Row],[Sale_Date]],"DDDD")</f>
        <v>Tuesday</v>
      </c>
      <c r="F918" t="s">
        <v>23</v>
      </c>
      <c r="G918" t="s">
        <v>24</v>
      </c>
      <c r="H918" s="2">
        <v>4244.21</v>
      </c>
      <c r="I918">
        <v>11</v>
      </c>
      <c r="J918" t="s">
        <v>28</v>
      </c>
      <c r="K918" s="2">
        <v>4100.62</v>
      </c>
      <c r="L918" s="2">
        <v>4230</v>
      </c>
      <c r="M918" t="s">
        <v>29</v>
      </c>
      <c r="N918">
        <v>0.28999999999999998</v>
      </c>
      <c r="O918" s="2">
        <f>(Sales[[#This Row],[Unit_Price]]-Sales[[#This Row],[Discount]]*Sales[[#This Row],[Unit_Price]])</f>
        <v>3003.3</v>
      </c>
      <c r="P918" t="s">
        <v>26</v>
      </c>
      <c r="Q918" t="s">
        <v>18</v>
      </c>
      <c r="R918" t="s">
        <v>27</v>
      </c>
    </row>
    <row r="919" spans="1:18" x14ac:dyDescent="0.35">
      <c r="A919">
        <v>1050</v>
      </c>
      <c r="B919" s="1">
        <v>45243</v>
      </c>
      <c r="C919" s="1" t="str">
        <f>TEXT(Sales[[#This Row],[Sale_Date]],"YYYY")</f>
        <v>2023</v>
      </c>
      <c r="D919" s="1" t="str">
        <f>TEXT(Sales[[#This Row],[Sale_Date]],"MMMM")</f>
        <v>November</v>
      </c>
      <c r="E919" s="1" t="str">
        <f>TEXT(Sales[[#This Row],[Sale_Date]],"DDDD")</f>
        <v>Monday</v>
      </c>
      <c r="F919" t="s">
        <v>41</v>
      </c>
      <c r="G919" t="s">
        <v>14</v>
      </c>
      <c r="H919" s="2">
        <v>4638.47</v>
      </c>
      <c r="I919">
        <v>28</v>
      </c>
      <c r="J919" t="s">
        <v>25</v>
      </c>
      <c r="K919" s="2">
        <v>1711.63</v>
      </c>
      <c r="L919" s="2">
        <v>1951.24</v>
      </c>
      <c r="M919" t="s">
        <v>29</v>
      </c>
      <c r="N919">
        <v>0.22</v>
      </c>
      <c r="O919" s="2">
        <f>(Sales[[#This Row],[Unit_Price]]-Sales[[#This Row],[Discount]]*Sales[[#This Row],[Unit_Price]])</f>
        <v>1521.9672</v>
      </c>
      <c r="P919" t="s">
        <v>17</v>
      </c>
      <c r="Q919" t="s">
        <v>18</v>
      </c>
      <c r="R919" t="s">
        <v>48</v>
      </c>
    </row>
    <row r="920" spans="1:18" x14ac:dyDescent="0.35">
      <c r="A920">
        <v>1061</v>
      </c>
      <c r="B920" s="1">
        <v>45049</v>
      </c>
      <c r="C920" s="1" t="str">
        <f>TEXT(Sales[[#This Row],[Sale_Date]],"YYYY")</f>
        <v>2023</v>
      </c>
      <c r="D920" s="1" t="str">
        <f>TEXT(Sales[[#This Row],[Sale_Date]],"MMMM")</f>
        <v>May</v>
      </c>
      <c r="E920" s="1" t="str">
        <f>TEXT(Sales[[#This Row],[Sale_Date]],"DDDD")</f>
        <v>Wednesday</v>
      </c>
      <c r="F920" t="s">
        <v>13</v>
      </c>
      <c r="G920" t="s">
        <v>24</v>
      </c>
      <c r="H920" s="2">
        <v>7277.56</v>
      </c>
      <c r="I920">
        <v>41</v>
      </c>
      <c r="J920" t="s">
        <v>15</v>
      </c>
      <c r="K920" s="2">
        <v>2894.18</v>
      </c>
      <c r="L920" s="2">
        <v>3193.92</v>
      </c>
      <c r="M920" t="s">
        <v>29</v>
      </c>
      <c r="N920">
        <v>0.28000000000000003</v>
      </c>
      <c r="O920" s="2">
        <f>(Sales[[#This Row],[Unit_Price]]-Sales[[#This Row],[Discount]]*Sales[[#This Row],[Unit_Price]])</f>
        <v>2299.6224000000002</v>
      </c>
      <c r="P920" t="s">
        <v>26</v>
      </c>
      <c r="Q920" t="s">
        <v>21</v>
      </c>
      <c r="R920" t="s">
        <v>31</v>
      </c>
    </row>
    <row r="921" spans="1:18" x14ac:dyDescent="0.35">
      <c r="A921">
        <v>1051</v>
      </c>
      <c r="B921" s="1">
        <v>44935</v>
      </c>
      <c r="C921" s="1" t="str">
        <f>TEXT(Sales[[#This Row],[Sale_Date]],"YYYY")</f>
        <v>2023</v>
      </c>
      <c r="D921" s="1" t="str">
        <f>TEXT(Sales[[#This Row],[Sale_Date]],"MMMM")</f>
        <v>January</v>
      </c>
      <c r="E921" s="1" t="str">
        <f>TEXT(Sales[[#This Row],[Sale_Date]],"DDDD")</f>
        <v>Monday</v>
      </c>
      <c r="F921" t="s">
        <v>23</v>
      </c>
      <c r="G921" t="s">
        <v>24</v>
      </c>
      <c r="H921" s="2">
        <v>5785.45</v>
      </c>
      <c r="I921">
        <v>23</v>
      </c>
      <c r="J921" t="s">
        <v>15</v>
      </c>
      <c r="K921" s="2">
        <v>2598.1799999999998</v>
      </c>
      <c r="L921" s="2">
        <v>3042.73</v>
      </c>
      <c r="M921" t="s">
        <v>16</v>
      </c>
      <c r="N921">
        <v>0.24</v>
      </c>
      <c r="O921" s="2">
        <f>(Sales[[#This Row],[Unit_Price]]-Sales[[#This Row],[Discount]]*Sales[[#This Row],[Unit_Price]])</f>
        <v>2312.4748</v>
      </c>
      <c r="P921" t="s">
        <v>30</v>
      </c>
      <c r="Q921" t="s">
        <v>18</v>
      </c>
      <c r="R921" t="s">
        <v>27</v>
      </c>
    </row>
    <row r="922" spans="1:18" x14ac:dyDescent="0.35">
      <c r="A922">
        <v>1019</v>
      </c>
      <c r="B922" s="1">
        <v>45188</v>
      </c>
      <c r="C922" s="1" t="str">
        <f>TEXT(Sales[[#This Row],[Sale_Date]],"YYYY")</f>
        <v>2023</v>
      </c>
      <c r="D922" s="1" t="str">
        <f>TEXT(Sales[[#This Row],[Sale_Date]],"MMMM")</f>
        <v>September</v>
      </c>
      <c r="E922" s="1" t="str">
        <f>TEXT(Sales[[#This Row],[Sale_Date]],"DDDD")</f>
        <v>Tuesday</v>
      </c>
      <c r="F922" t="s">
        <v>32</v>
      </c>
      <c r="G922" t="s">
        <v>20</v>
      </c>
      <c r="H922" s="2">
        <v>6705.4</v>
      </c>
      <c r="I922">
        <v>45</v>
      </c>
      <c r="J922" t="s">
        <v>28</v>
      </c>
      <c r="K922" s="2">
        <v>2590.64</v>
      </c>
      <c r="L922" s="2">
        <v>3036.18</v>
      </c>
      <c r="M922" t="s">
        <v>29</v>
      </c>
      <c r="N922">
        <v>0.05</v>
      </c>
      <c r="O922" s="2">
        <f>(Sales[[#This Row],[Unit_Price]]-Sales[[#This Row],[Discount]]*Sales[[#This Row],[Unit_Price]])</f>
        <v>2884.3709999999996</v>
      </c>
      <c r="P922" t="s">
        <v>26</v>
      </c>
      <c r="Q922" t="s">
        <v>21</v>
      </c>
      <c r="R922" t="s">
        <v>36</v>
      </c>
    </row>
    <row r="923" spans="1:18" x14ac:dyDescent="0.35">
      <c r="A923">
        <v>1021</v>
      </c>
      <c r="B923" s="1">
        <v>44999</v>
      </c>
      <c r="C923" s="1" t="str">
        <f>TEXT(Sales[[#This Row],[Sale_Date]],"YYYY")</f>
        <v>2023</v>
      </c>
      <c r="D923" s="1" t="str">
        <f>TEXT(Sales[[#This Row],[Sale_Date]],"MMMM")</f>
        <v>March</v>
      </c>
      <c r="E923" s="1" t="str">
        <f>TEXT(Sales[[#This Row],[Sale_Date]],"DDDD")</f>
        <v>Tuesday</v>
      </c>
      <c r="F923" t="s">
        <v>23</v>
      </c>
      <c r="G923" t="s">
        <v>24</v>
      </c>
      <c r="H923" s="2">
        <v>7792.79</v>
      </c>
      <c r="I923">
        <v>23</v>
      </c>
      <c r="J923" t="s">
        <v>25</v>
      </c>
      <c r="K923" s="2">
        <v>580.75</v>
      </c>
      <c r="L923" s="2">
        <v>956.16</v>
      </c>
      <c r="M923" t="s">
        <v>16</v>
      </c>
      <c r="N923">
        <v>7.0000000000000007E-2</v>
      </c>
      <c r="O923" s="2">
        <f>(Sales[[#This Row],[Unit_Price]]-Sales[[#This Row],[Discount]]*Sales[[#This Row],[Unit_Price]])</f>
        <v>889.22879999999998</v>
      </c>
      <c r="P923" t="s">
        <v>17</v>
      </c>
      <c r="Q923" t="s">
        <v>21</v>
      </c>
      <c r="R923" t="s">
        <v>27</v>
      </c>
    </row>
    <row r="924" spans="1:18" x14ac:dyDescent="0.35">
      <c r="A924">
        <v>1005</v>
      </c>
      <c r="B924" s="1">
        <v>45285</v>
      </c>
      <c r="C924" s="1" t="str">
        <f>TEXT(Sales[[#This Row],[Sale_Date]],"YYYY")</f>
        <v>2023</v>
      </c>
      <c r="D924" s="1" t="str">
        <f>TEXT(Sales[[#This Row],[Sale_Date]],"MMMM")</f>
        <v>December</v>
      </c>
      <c r="E924" s="1" t="str">
        <f>TEXT(Sales[[#This Row],[Sale_Date]],"DDDD")</f>
        <v>Monday</v>
      </c>
      <c r="F924" t="s">
        <v>41</v>
      </c>
      <c r="G924" t="s">
        <v>24</v>
      </c>
      <c r="H924" s="2">
        <v>8635.81</v>
      </c>
      <c r="I924">
        <v>28</v>
      </c>
      <c r="J924" t="s">
        <v>15</v>
      </c>
      <c r="K924" s="2">
        <v>2146.2399999999998</v>
      </c>
      <c r="L924" s="2">
        <v>2173.4699999999998</v>
      </c>
      <c r="M924" t="s">
        <v>16</v>
      </c>
      <c r="N924">
        <v>0.1</v>
      </c>
      <c r="O924" s="2">
        <f>(Sales[[#This Row],[Unit_Price]]-Sales[[#This Row],[Discount]]*Sales[[#This Row],[Unit_Price]])</f>
        <v>1956.1229999999998</v>
      </c>
      <c r="P924" t="s">
        <v>17</v>
      </c>
      <c r="Q924" t="s">
        <v>21</v>
      </c>
      <c r="R924" t="s">
        <v>42</v>
      </c>
    </row>
    <row r="925" spans="1:18" x14ac:dyDescent="0.35">
      <c r="A925">
        <v>1082</v>
      </c>
      <c r="B925" s="1">
        <v>45149</v>
      </c>
      <c r="C925" s="1" t="str">
        <f>TEXT(Sales[[#This Row],[Sale_Date]],"YYYY")</f>
        <v>2023</v>
      </c>
      <c r="D925" s="1" t="str">
        <f>TEXT(Sales[[#This Row],[Sale_Date]],"MMMM")</f>
        <v>August</v>
      </c>
      <c r="E925" s="1" t="str">
        <f>TEXT(Sales[[#This Row],[Sale_Date]],"DDDD")</f>
        <v>Friday</v>
      </c>
      <c r="F925" t="s">
        <v>32</v>
      </c>
      <c r="G925" t="s">
        <v>14</v>
      </c>
      <c r="H925" s="2">
        <v>3207.37</v>
      </c>
      <c r="I925">
        <v>43</v>
      </c>
      <c r="J925" t="s">
        <v>15</v>
      </c>
      <c r="K925" s="2">
        <v>2289.2199999999998</v>
      </c>
      <c r="L925" s="2">
        <v>2581</v>
      </c>
      <c r="M925" t="s">
        <v>29</v>
      </c>
      <c r="N925">
        <v>0.05</v>
      </c>
      <c r="O925" s="2">
        <f>(Sales[[#This Row],[Unit_Price]]-Sales[[#This Row],[Discount]]*Sales[[#This Row],[Unit_Price]])</f>
        <v>2451.9499999999998</v>
      </c>
      <c r="P925" t="s">
        <v>26</v>
      </c>
      <c r="Q925" t="s">
        <v>18</v>
      </c>
      <c r="R925" t="s">
        <v>52</v>
      </c>
    </row>
    <row r="926" spans="1:18" x14ac:dyDescent="0.35">
      <c r="A926">
        <v>1092</v>
      </c>
      <c r="B926" s="1">
        <v>44967</v>
      </c>
      <c r="C926" s="1" t="str">
        <f>TEXT(Sales[[#This Row],[Sale_Date]],"YYYY")</f>
        <v>2023</v>
      </c>
      <c r="D926" s="1" t="str">
        <f>TEXT(Sales[[#This Row],[Sale_Date]],"MMMM")</f>
        <v>February</v>
      </c>
      <c r="E926" s="1" t="str">
        <f>TEXT(Sales[[#This Row],[Sale_Date]],"DDDD")</f>
        <v>Friday</v>
      </c>
      <c r="F926" t="s">
        <v>13</v>
      </c>
      <c r="G926" t="s">
        <v>33</v>
      </c>
      <c r="H926" s="2">
        <v>5426.42</v>
      </c>
      <c r="I926">
        <v>47</v>
      </c>
      <c r="J926" t="s">
        <v>15</v>
      </c>
      <c r="K926" s="2">
        <v>3681.53</v>
      </c>
      <c r="L926" s="2">
        <v>4076.96</v>
      </c>
      <c r="M926" t="s">
        <v>16</v>
      </c>
      <c r="N926">
        <v>0.17</v>
      </c>
      <c r="O926" s="2">
        <f>(Sales[[#This Row],[Unit_Price]]-Sales[[#This Row],[Discount]]*Sales[[#This Row],[Unit_Price]])</f>
        <v>3383.8768</v>
      </c>
      <c r="P926" t="s">
        <v>17</v>
      </c>
      <c r="Q926" t="s">
        <v>21</v>
      </c>
      <c r="R926" t="s">
        <v>45</v>
      </c>
    </row>
    <row r="927" spans="1:18" x14ac:dyDescent="0.35">
      <c r="A927">
        <v>1042</v>
      </c>
      <c r="B927" s="1">
        <v>45130</v>
      </c>
      <c r="C927" s="1" t="str">
        <f>TEXT(Sales[[#This Row],[Sale_Date]],"YYYY")</f>
        <v>2023</v>
      </c>
      <c r="D927" s="1" t="str">
        <f>TEXT(Sales[[#This Row],[Sale_Date]],"MMMM")</f>
        <v>July</v>
      </c>
      <c r="E927" s="1" t="str">
        <f>TEXT(Sales[[#This Row],[Sale_Date]],"DDDD")</f>
        <v>Sunday</v>
      </c>
      <c r="F927" t="s">
        <v>32</v>
      </c>
      <c r="G927" t="s">
        <v>20</v>
      </c>
      <c r="H927" s="2">
        <v>8417.07</v>
      </c>
      <c r="I927">
        <v>26</v>
      </c>
      <c r="J927" t="s">
        <v>34</v>
      </c>
      <c r="K927" s="2">
        <v>4208.09</v>
      </c>
      <c r="L927" s="2">
        <v>4226.5600000000004</v>
      </c>
      <c r="M927" t="s">
        <v>16</v>
      </c>
      <c r="N927">
        <v>0.28999999999999998</v>
      </c>
      <c r="O927" s="2">
        <f>(Sales[[#This Row],[Unit_Price]]-Sales[[#This Row],[Discount]]*Sales[[#This Row],[Unit_Price]])</f>
        <v>3000.8576000000003</v>
      </c>
      <c r="P927" t="s">
        <v>17</v>
      </c>
      <c r="Q927" t="s">
        <v>21</v>
      </c>
      <c r="R927" t="s">
        <v>36</v>
      </c>
    </row>
    <row r="928" spans="1:18" x14ac:dyDescent="0.35">
      <c r="A928">
        <v>1061</v>
      </c>
      <c r="B928" s="1">
        <v>45190</v>
      </c>
      <c r="C928" s="1" t="str">
        <f>TEXT(Sales[[#This Row],[Sale_Date]],"YYYY")</f>
        <v>2023</v>
      </c>
      <c r="D928" s="1" t="str">
        <f>TEXT(Sales[[#This Row],[Sale_Date]],"MMMM")</f>
        <v>September</v>
      </c>
      <c r="E928" s="1" t="str">
        <f>TEXT(Sales[[#This Row],[Sale_Date]],"DDDD")</f>
        <v>Thursday</v>
      </c>
      <c r="F928" t="s">
        <v>32</v>
      </c>
      <c r="G928" t="s">
        <v>24</v>
      </c>
      <c r="H928" s="2">
        <v>9895.57</v>
      </c>
      <c r="I928">
        <v>25</v>
      </c>
      <c r="J928" t="s">
        <v>25</v>
      </c>
      <c r="K928" s="2">
        <v>2747.66</v>
      </c>
      <c r="L928" s="2">
        <v>3027.0099999999902</v>
      </c>
      <c r="M928" t="s">
        <v>29</v>
      </c>
      <c r="N928">
        <v>0.23</v>
      </c>
      <c r="O928" s="2">
        <f>(Sales[[#This Row],[Unit_Price]]-Sales[[#This Row],[Discount]]*Sales[[#This Row],[Unit_Price]])</f>
        <v>2330.7976999999923</v>
      </c>
      <c r="P928" t="s">
        <v>17</v>
      </c>
      <c r="Q928" t="s">
        <v>18</v>
      </c>
      <c r="R928" t="s">
        <v>43</v>
      </c>
    </row>
    <row r="929" spans="1:18" x14ac:dyDescent="0.35">
      <c r="A929">
        <v>1022</v>
      </c>
      <c r="B929" s="1">
        <v>45254</v>
      </c>
      <c r="C929" s="1" t="str">
        <f>TEXT(Sales[[#This Row],[Sale_Date]],"YYYY")</f>
        <v>2023</v>
      </c>
      <c r="D929" s="1" t="str">
        <f>TEXT(Sales[[#This Row],[Sale_Date]],"MMMM")</f>
        <v>November</v>
      </c>
      <c r="E929" s="1" t="str">
        <f>TEXT(Sales[[#This Row],[Sale_Date]],"DDDD")</f>
        <v>Friday</v>
      </c>
      <c r="F929" t="s">
        <v>37</v>
      </c>
      <c r="G929" t="s">
        <v>20</v>
      </c>
      <c r="H929" s="2">
        <v>8906.24</v>
      </c>
      <c r="I929">
        <v>29</v>
      </c>
      <c r="J929" t="s">
        <v>15</v>
      </c>
      <c r="K929" s="2">
        <v>479.58</v>
      </c>
      <c r="L929" s="2">
        <v>909.88</v>
      </c>
      <c r="M929" t="s">
        <v>16</v>
      </c>
      <c r="N929">
        <v>0.13</v>
      </c>
      <c r="O929" s="2">
        <f>(Sales[[#This Row],[Unit_Price]]-Sales[[#This Row],[Discount]]*Sales[[#This Row],[Unit_Price]])</f>
        <v>791.59559999999999</v>
      </c>
      <c r="P929" t="s">
        <v>30</v>
      </c>
      <c r="Q929" t="s">
        <v>21</v>
      </c>
      <c r="R929" t="s">
        <v>40</v>
      </c>
    </row>
    <row r="930" spans="1:18" x14ac:dyDescent="0.35">
      <c r="A930">
        <v>1021</v>
      </c>
      <c r="B930" s="1">
        <v>45104</v>
      </c>
      <c r="C930" s="1" t="str">
        <f>TEXT(Sales[[#This Row],[Sale_Date]],"YYYY")</f>
        <v>2023</v>
      </c>
      <c r="D930" s="1" t="str">
        <f>TEXT(Sales[[#This Row],[Sale_Date]],"MMMM")</f>
        <v>June</v>
      </c>
      <c r="E930" s="1" t="str">
        <f>TEXT(Sales[[#This Row],[Sale_Date]],"DDDD")</f>
        <v>Tuesday</v>
      </c>
      <c r="F930" t="s">
        <v>32</v>
      </c>
      <c r="G930" t="s">
        <v>14</v>
      </c>
      <c r="H930" s="2">
        <v>3777.53</v>
      </c>
      <c r="I930">
        <v>19</v>
      </c>
      <c r="J930" t="s">
        <v>34</v>
      </c>
      <c r="K930" s="2">
        <v>1222.4000000000001</v>
      </c>
      <c r="L930" s="2">
        <v>1464.71</v>
      </c>
      <c r="M930" t="s">
        <v>29</v>
      </c>
      <c r="N930">
        <v>0</v>
      </c>
      <c r="O930" s="2">
        <f>(Sales[[#This Row],[Unit_Price]]-Sales[[#This Row],[Discount]]*Sales[[#This Row],[Unit_Price]])</f>
        <v>1464.71</v>
      </c>
      <c r="P930" t="s">
        <v>30</v>
      </c>
      <c r="Q930" t="s">
        <v>21</v>
      </c>
      <c r="R930" t="s">
        <v>52</v>
      </c>
    </row>
    <row r="931" spans="1:18" x14ac:dyDescent="0.35">
      <c r="A931">
        <v>1070</v>
      </c>
      <c r="B931" s="1">
        <v>45274</v>
      </c>
      <c r="C931" s="1" t="str">
        <f>TEXT(Sales[[#This Row],[Sale_Date]],"YYYY")</f>
        <v>2023</v>
      </c>
      <c r="D931" s="1" t="str">
        <f>TEXT(Sales[[#This Row],[Sale_Date]],"MMMM")</f>
        <v>December</v>
      </c>
      <c r="E931" s="1" t="str">
        <f>TEXT(Sales[[#This Row],[Sale_Date]],"DDDD")</f>
        <v>Thursday</v>
      </c>
      <c r="F931" t="s">
        <v>32</v>
      </c>
      <c r="G931" t="s">
        <v>24</v>
      </c>
      <c r="H931" s="2">
        <v>2032.15</v>
      </c>
      <c r="I931">
        <v>33</v>
      </c>
      <c r="J931" t="s">
        <v>25</v>
      </c>
      <c r="K931" s="2">
        <v>866.42</v>
      </c>
      <c r="L931" s="2">
        <v>878.43</v>
      </c>
      <c r="M931" t="s">
        <v>29</v>
      </c>
      <c r="N931">
        <v>0.09</v>
      </c>
      <c r="O931" s="2">
        <f>(Sales[[#This Row],[Unit_Price]]-Sales[[#This Row],[Discount]]*Sales[[#This Row],[Unit_Price]])</f>
        <v>799.37130000000002</v>
      </c>
      <c r="P931" t="s">
        <v>17</v>
      </c>
      <c r="Q931" t="s">
        <v>21</v>
      </c>
      <c r="R931" t="s">
        <v>43</v>
      </c>
    </row>
    <row r="932" spans="1:18" x14ac:dyDescent="0.35">
      <c r="A932">
        <v>1001</v>
      </c>
      <c r="B932" s="1">
        <v>45244</v>
      </c>
      <c r="C932" s="1" t="str">
        <f>TEXT(Sales[[#This Row],[Sale_Date]],"YYYY")</f>
        <v>2023</v>
      </c>
      <c r="D932" s="1" t="str">
        <f>TEXT(Sales[[#This Row],[Sale_Date]],"MMMM")</f>
        <v>November</v>
      </c>
      <c r="E932" s="1" t="str">
        <f>TEXT(Sales[[#This Row],[Sale_Date]],"DDDD")</f>
        <v>Tuesday</v>
      </c>
      <c r="F932" t="s">
        <v>23</v>
      </c>
      <c r="G932" t="s">
        <v>14</v>
      </c>
      <c r="H932" s="2">
        <v>4944.99</v>
      </c>
      <c r="I932">
        <v>36</v>
      </c>
      <c r="J932" t="s">
        <v>15</v>
      </c>
      <c r="K932" s="2">
        <v>666.84</v>
      </c>
      <c r="L932" s="2">
        <v>682.24</v>
      </c>
      <c r="M932" t="s">
        <v>29</v>
      </c>
      <c r="N932">
        <v>0.16</v>
      </c>
      <c r="O932" s="2">
        <f>(Sales[[#This Row],[Unit_Price]]-Sales[[#This Row],[Discount]]*Sales[[#This Row],[Unit_Price]])</f>
        <v>573.08159999999998</v>
      </c>
      <c r="P932" t="s">
        <v>26</v>
      </c>
      <c r="Q932" t="s">
        <v>21</v>
      </c>
      <c r="R932" t="s">
        <v>44</v>
      </c>
    </row>
    <row r="933" spans="1:18" x14ac:dyDescent="0.35">
      <c r="A933">
        <v>1005</v>
      </c>
      <c r="B933" s="1">
        <v>45010</v>
      </c>
      <c r="C933" s="1" t="str">
        <f>TEXT(Sales[[#This Row],[Sale_Date]],"YYYY")</f>
        <v>2023</v>
      </c>
      <c r="D933" s="1" t="str">
        <f>TEXT(Sales[[#This Row],[Sale_Date]],"MMMM")</f>
        <v>March</v>
      </c>
      <c r="E933" s="1" t="str">
        <f>TEXT(Sales[[#This Row],[Sale_Date]],"DDDD")</f>
        <v>Saturday</v>
      </c>
      <c r="F933" t="s">
        <v>13</v>
      </c>
      <c r="G933" t="s">
        <v>20</v>
      </c>
      <c r="H933" s="2">
        <v>7442.25</v>
      </c>
      <c r="I933">
        <v>14</v>
      </c>
      <c r="J933" t="s">
        <v>28</v>
      </c>
      <c r="K933" s="2">
        <v>1861.2</v>
      </c>
      <c r="L933" s="2">
        <v>2075.35</v>
      </c>
      <c r="M933" t="s">
        <v>16</v>
      </c>
      <c r="N933">
        <v>0.1</v>
      </c>
      <c r="O933" s="2">
        <f>(Sales[[#This Row],[Unit_Price]]-Sales[[#This Row],[Discount]]*Sales[[#This Row],[Unit_Price]])</f>
        <v>1867.8149999999998</v>
      </c>
      <c r="P933" t="s">
        <v>30</v>
      </c>
      <c r="Q933" t="s">
        <v>21</v>
      </c>
      <c r="R933" t="s">
        <v>22</v>
      </c>
    </row>
    <row r="934" spans="1:18" x14ac:dyDescent="0.35">
      <c r="A934">
        <v>1012</v>
      </c>
      <c r="B934" s="1">
        <v>45244</v>
      </c>
      <c r="C934" s="1" t="str">
        <f>TEXT(Sales[[#This Row],[Sale_Date]],"YYYY")</f>
        <v>2023</v>
      </c>
      <c r="D934" s="1" t="str">
        <f>TEXT(Sales[[#This Row],[Sale_Date]],"MMMM")</f>
        <v>November</v>
      </c>
      <c r="E934" s="1" t="str">
        <f>TEXT(Sales[[#This Row],[Sale_Date]],"DDDD")</f>
        <v>Tuesday</v>
      </c>
      <c r="F934" t="s">
        <v>23</v>
      </c>
      <c r="G934" t="s">
        <v>14</v>
      </c>
      <c r="H934" s="2">
        <v>4976.43</v>
      </c>
      <c r="I934">
        <v>14</v>
      </c>
      <c r="J934" t="s">
        <v>34</v>
      </c>
      <c r="K934" s="2">
        <v>1185.5</v>
      </c>
      <c r="L934" s="2">
        <v>1271.45</v>
      </c>
      <c r="M934" t="s">
        <v>16</v>
      </c>
      <c r="N934">
        <v>0.03</v>
      </c>
      <c r="O934" s="2">
        <f>(Sales[[#This Row],[Unit_Price]]-Sales[[#This Row],[Discount]]*Sales[[#This Row],[Unit_Price]])</f>
        <v>1233.3065000000001</v>
      </c>
      <c r="P934" t="s">
        <v>26</v>
      </c>
      <c r="Q934" t="s">
        <v>21</v>
      </c>
      <c r="R934" t="s">
        <v>44</v>
      </c>
    </row>
    <row r="935" spans="1:18" x14ac:dyDescent="0.35">
      <c r="A935">
        <v>1090</v>
      </c>
      <c r="B935" s="1">
        <v>45037</v>
      </c>
      <c r="C935" s="1" t="str">
        <f>TEXT(Sales[[#This Row],[Sale_Date]],"YYYY")</f>
        <v>2023</v>
      </c>
      <c r="D935" s="1" t="str">
        <f>TEXT(Sales[[#This Row],[Sale_Date]],"MMMM")</f>
        <v>April</v>
      </c>
      <c r="E935" s="1" t="str">
        <f>TEXT(Sales[[#This Row],[Sale_Date]],"DDDD")</f>
        <v>Friday</v>
      </c>
      <c r="F935" t="s">
        <v>23</v>
      </c>
      <c r="G935" t="s">
        <v>20</v>
      </c>
      <c r="H935" s="2">
        <v>4883.49</v>
      </c>
      <c r="I935">
        <v>35</v>
      </c>
      <c r="J935" t="s">
        <v>34</v>
      </c>
      <c r="K935" s="2">
        <v>1130.5999999999999</v>
      </c>
      <c r="L935" s="2">
        <v>1466.1799999999901</v>
      </c>
      <c r="M935" t="s">
        <v>16</v>
      </c>
      <c r="N935">
        <v>0.13</v>
      </c>
      <c r="O935" s="2">
        <f>(Sales[[#This Row],[Unit_Price]]-Sales[[#This Row],[Discount]]*Sales[[#This Row],[Unit_Price]])</f>
        <v>1275.5765999999912</v>
      </c>
      <c r="P935" t="s">
        <v>17</v>
      </c>
      <c r="Q935" t="s">
        <v>18</v>
      </c>
      <c r="R935" t="s">
        <v>46</v>
      </c>
    </row>
    <row r="936" spans="1:18" x14ac:dyDescent="0.35">
      <c r="A936">
        <v>1046</v>
      </c>
      <c r="B936" s="1">
        <v>45177</v>
      </c>
      <c r="C936" s="1" t="str">
        <f>TEXT(Sales[[#This Row],[Sale_Date]],"YYYY")</f>
        <v>2023</v>
      </c>
      <c r="D936" s="1" t="str">
        <f>TEXT(Sales[[#This Row],[Sale_Date]],"MMMM")</f>
        <v>September</v>
      </c>
      <c r="E936" s="1" t="str">
        <f>TEXT(Sales[[#This Row],[Sale_Date]],"DDDD")</f>
        <v>Friday</v>
      </c>
      <c r="F936" t="s">
        <v>41</v>
      </c>
      <c r="G936" t="s">
        <v>14</v>
      </c>
      <c r="H936" s="2">
        <v>8398.48</v>
      </c>
      <c r="I936">
        <v>30</v>
      </c>
      <c r="J936" t="s">
        <v>15</v>
      </c>
      <c r="K936" s="2">
        <v>320.73</v>
      </c>
      <c r="L936" s="2">
        <v>678.04</v>
      </c>
      <c r="M936" t="s">
        <v>16</v>
      </c>
      <c r="N936">
        <v>0.08</v>
      </c>
      <c r="O936" s="2">
        <f>(Sales[[#This Row],[Unit_Price]]-Sales[[#This Row],[Discount]]*Sales[[#This Row],[Unit_Price]])</f>
        <v>623.79679999999996</v>
      </c>
      <c r="P936" t="s">
        <v>17</v>
      </c>
      <c r="Q936" t="s">
        <v>21</v>
      </c>
      <c r="R936" t="s">
        <v>48</v>
      </c>
    </row>
    <row r="937" spans="1:18" x14ac:dyDescent="0.35">
      <c r="A937">
        <v>1034</v>
      </c>
      <c r="B937" s="1">
        <v>44933</v>
      </c>
      <c r="C937" s="1" t="str">
        <f>TEXT(Sales[[#This Row],[Sale_Date]],"YYYY")</f>
        <v>2023</v>
      </c>
      <c r="D937" s="1" t="str">
        <f>TEXT(Sales[[#This Row],[Sale_Date]],"MMMM")</f>
        <v>January</v>
      </c>
      <c r="E937" s="1" t="str">
        <f>TEXT(Sales[[#This Row],[Sale_Date]],"DDDD")</f>
        <v>Saturday</v>
      </c>
      <c r="F937" t="s">
        <v>23</v>
      </c>
      <c r="G937" t="s">
        <v>20</v>
      </c>
      <c r="H937" s="2">
        <v>3677.9</v>
      </c>
      <c r="I937">
        <v>28</v>
      </c>
      <c r="J937" t="s">
        <v>15</v>
      </c>
      <c r="K937" s="2">
        <v>137.47</v>
      </c>
      <c r="L937" s="2">
        <v>234.63</v>
      </c>
      <c r="M937" t="s">
        <v>29</v>
      </c>
      <c r="N937">
        <v>0.27</v>
      </c>
      <c r="O937" s="2">
        <f>(Sales[[#This Row],[Unit_Price]]-Sales[[#This Row],[Discount]]*Sales[[#This Row],[Unit_Price]])</f>
        <v>171.2799</v>
      </c>
      <c r="P937" t="s">
        <v>26</v>
      </c>
      <c r="Q937" t="s">
        <v>21</v>
      </c>
      <c r="R937" t="s">
        <v>46</v>
      </c>
    </row>
    <row r="938" spans="1:18" x14ac:dyDescent="0.35">
      <c r="A938">
        <v>1049</v>
      </c>
      <c r="B938" s="1">
        <v>45010</v>
      </c>
      <c r="C938" s="1" t="str">
        <f>TEXT(Sales[[#This Row],[Sale_Date]],"YYYY")</f>
        <v>2023</v>
      </c>
      <c r="D938" s="1" t="str">
        <f>TEXT(Sales[[#This Row],[Sale_Date]],"MMMM")</f>
        <v>March</v>
      </c>
      <c r="E938" s="1" t="str">
        <f>TEXT(Sales[[#This Row],[Sale_Date]],"DDDD")</f>
        <v>Saturday</v>
      </c>
      <c r="F938" t="s">
        <v>37</v>
      </c>
      <c r="G938" t="s">
        <v>33</v>
      </c>
      <c r="H938" s="2">
        <v>8611.9699999999993</v>
      </c>
      <c r="I938">
        <v>17</v>
      </c>
      <c r="J938" t="s">
        <v>34</v>
      </c>
      <c r="K938" s="2">
        <v>558.70000000000005</v>
      </c>
      <c r="L938" s="2">
        <v>1004.08</v>
      </c>
      <c r="M938" t="s">
        <v>16</v>
      </c>
      <c r="N938">
        <v>0.03</v>
      </c>
      <c r="O938" s="2">
        <f>(Sales[[#This Row],[Unit_Price]]-Sales[[#This Row],[Discount]]*Sales[[#This Row],[Unit_Price]])</f>
        <v>973.95760000000007</v>
      </c>
      <c r="P938" t="s">
        <v>30</v>
      </c>
      <c r="Q938" t="s">
        <v>18</v>
      </c>
      <c r="R938" t="s">
        <v>47</v>
      </c>
    </row>
    <row r="939" spans="1:18" x14ac:dyDescent="0.35">
      <c r="A939">
        <v>1078</v>
      </c>
      <c r="B939" s="1">
        <v>45134</v>
      </c>
      <c r="C939" s="1" t="str">
        <f>TEXT(Sales[[#This Row],[Sale_Date]],"YYYY")</f>
        <v>2023</v>
      </c>
      <c r="D939" s="1" t="str">
        <f>TEXT(Sales[[#This Row],[Sale_Date]],"MMMM")</f>
        <v>July</v>
      </c>
      <c r="E939" s="1" t="str">
        <f>TEXT(Sales[[#This Row],[Sale_Date]],"DDDD")</f>
        <v>Thursday</v>
      </c>
      <c r="F939" t="s">
        <v>37</v>
      </c>
      <c r="G939" t="s">
        <v>14</v>
      </c>
      <c r="H939" s="2">
        <v>4127.37</v>
      </c>
      <c r="I939">
        <v>3</v>
      </c>
      <c r="J939" t="s">
        <v>28</v>
      </c>
      <c r="K939" s="2">
        <v>902.38</v>
      </c>
      <c r="L939" s="2">
        <v>1128.9100000000001</v>
      </c>
      <c r="M939" t="s">
        <v>29</v>
      </c>
      <c r="N939">
        <v>0.01</v>
      </c>
      <c r="O939" s="2">
        <f>(Sales[[#This Row],[Unit_Price]]-Sales[[#This Row],[Discount]]*Sales[[#This Row],[Unit_Price]])</f>
        <v>1117.6209000000001</v>
      </c>
      <c r="P939" t="s">
        <v>26</v>
      </c>
      <c r="Q939" t="s">
        <v>21</v>
      </c>
      <c r="R939" t="s">
        <v>39</v>
      </c>
    </row>
    <row r="940" spans="1:18" x14ac:dyDescent="0.35">
      <c r="A940">
        <v>1090</v>
      </c>
      <c r="B940" s="1">
        <v>45240</v>
      </c>
      <c r="C940" s="1" t="str">
        <f>TEXT(Sales[[#This Row],[Sale_Date]],"YYYY")</f>
        <v>2023</v>
      </c>
      <c r="D940" s="1" t="str">
        <f>TEXT(Sales[[#This Row],[Sale_Date]],"MMMM")</f>
        <v>November</v>
      </c>
      <c r="E940" s="1" t="str">
        <f>TEXT(Sales[[#This Row],[Sale_Date]],"DDDD")</f>
        <v>Friday</v>
      </c>
      <c r="F940" t="s">
        <v>41</v>
      </c>
      <c r="G940" t="s">
        <v>14</v>
      </c>
      <c r="H940" s="2">
        <v>3349.51</v>
      </c>
      <c r="I940">
        <v>16</v>
      </c>
      <c r="J940" t="s">
        <v>28</v>
      </c>
      <c r="K940" s="2">
        <v>2183.37</v>
      </c>
      <c r="L940" s="2">
        <v>2263.3599999999901</v>
      </c>
      <c r="M940" t="s">
        <v>16</v>
      </c>
      <c r="N940">
        <v>0</v>
      </c>
      <c r="O940" s="2">
        <f>(Sales[[#This Row],[Unit_Price]]-Sales[[#This Row],[Discount]]*Sales[[#This Row],[Unit_Price]])</f>
        <v>2263.3599999999901</v>
      </c>
      <c r="P940" t="s">
        <v>26</v>
      </c>
      <c r="Q940" t="s">
        <v>21</v>
      </c>
      <c r="R940" t="s">
        <v>48</v>
      </c>
    </row>
    <row r="941" spans="1:18" x14ac:dyDescent="0.35">
      <c r="A941">
        <v>1045</v>
      </c>
      <c r="B941" s="1">
        <v>44948</v>
      </c>
      <c r="C941" s="1" t="str">
        <f>TEXT(Sales[[#This Row],[Sale_Date]],"YYYY")</f>
        <v>2023</v>
      </c>
      <c r="D941" s="1" t="str">
        <f>TEXT(Sales[[#This Row],[Sale_Date]],"MMMM")</f>
        <v>January</v>
      </c>
      <c r="E941" s="1" t="str">
        <f>TEXT(Sales[[#This Row],[Sale_Date]],"DDDD")</f>
        <v>Sunday</v>
      </c>
      <c r="F941" t="s">
        <v>13</v>
      </c>
      <c r="G941" t="s">
        <v>33</v>
      </c>
      <c r="H941" s="2">
        <v>4594.5</v>
      </c>
      <c r="I941">
        <v>46</v>
      </c>
      <c r="J941" t="s">
        <v>25</v>
      </c>
      <c r="K941" s="2">
        <v>2577.08</v>
      </c>
      <c r="L941" s="2">
        <v>2961.56</v>
      </c>
      <c r="M941" t="s">
        <v>16</v>
      </c>
      <c r="N941">
        <v>0.1</v>
      </c>
      <c r="O941" s="2">
        <f>(Sales[[#This Row],[Unit_Price]]-Sales[[#This Row],[Discount]]*Sales[[#This Row],[Unit_Price]])</f>
        <v>2665.404</v>
      </c>
      <c r="P941" t="s">
        <v>17</v>
      </c>
      <c r="Q941" t="s">
        <v>18</v>
      </c>
      <c r="R941" t="s">
        <v>45</v>
      </c>
    </row>
    <row r="942" spans="1:18" x14ac:dyDescent="0.35">
      <c r="A942">
        <v>1027</v>
      </c>
      <c r="B942" s="1">
        <v>44929</v>
      </c>
      <c r="C942" s="1" t="str">
        <f>TEXT(Sales[[#This Row],[Sale_Date]],"YYYY")</f>
        <v>2023</v>
      </c>
      <c r="D942" s="1" t="str">
        <f>TEXT(Sales[[#This Row],[Sale_Date]],"MMMM")</f>
        <v>January</v>
      </c>
      <c r="E942" s="1" t="str">
        <f>TEXT(Sales[[#This Row],[Sale_Date]],"DDDD")</f>
        <v>Tuesday</v>
      </c>
      <c r="F942" t="s">
        <v>13</v>
      </c>
      <c r="G942" t="s">
        <v>33</v>
      </c>
      <c r="H942" s="2">
        <v>7648.22</v>
      </c>
      <c r="I942">
        <v>30</v>
      </c>
      <c r="J942" t="s">
        <v>15</v>
      </c>
      <c r="K942" s="2">
        <v>745.93</v>
      </c>
      <c r="L942" s="2">
        <v>1143.02</v>
      </c>
      <c r="M942" t="s">
        <v>16</v>
      </c>
      <c r="N942">
        <v>0.2</v>
      </c>
      <c r="O942" s="2">
        <f>(Sales[[#This Row],[Unit_Price]]-Sales[[#This Row],[Discount]]*Sales[[#This Row],[Unit_Price]])</f>
        <v>914.41599999999994</v>
      </c>
      <c r="P942" t="s">
        <v>30</v>
      </c>
      <c r="Q942" t="s">
        <v>18</v>
      </c>
      <c r="R942" t="s">
        <v>45</v>
      </c>
    </row>
    <row r="943" spans="1:18" x14ac:dyDescent="0.35">
      <c r="A943">
        <v>1073</v>
      </c>
      <c r="B943" s="1">
        <v>45053</v>
      </c>
      <c r="C943" s="1" t="str">
        <f>TEXT(Sales[[#This Row],[Sale_Date]],"YYYY")</f>
        <v>2023</v>
      </c>
      <c r="D943" s="1" t="str">
        <f>TEXT(Sales[[#This Row],[Sale_Date]],"MMMM")</f>
        <v>May</v>
      </c>
      <c r="E943" s="1" t="str">
        <f>TEXT(Sales[[#This Row],[Sale_Date]],"DDDD")</f>
        <v>Sunday</v>
      </c>
      <c r="F943" t="s">
        <v>23</v>
      </c>
      <c r="G943" t="s">
        <v>14</v>
      </c>
      <c r="H943" s="2">
        <v>1347.42</v>
      </c>
      <c r="I943">
        <v>29</v>
      </c>
      <c r="J943" t="s">
        <v>28</v>
      </c>
      <c r="K943" s="2">
        <v>2152.6799999999998</v>
      </c>
      <c r="L943" s="2">
        <v>2475.9299999999998</v>
      </c>
      <c r="M943" t="s">
        <v>16</v>
      </c>
      <c r="N943">
        <v>0.22</v>
      </c>
      <c r="O943" s="2">
        <f>(Sales[[#This Row],[Unit_Price]]-Sales[[#This Row],[Discount]]*Sales[[#This Row],[Unit_Price]])</f>
        <v>1931.2253999999998</v>
      </c>
      <c r="P943" t="s">
        <v>26</v>
      </c>
      <c r="Q943" t="s">
        <v>18</v>
      </c>
      <c r="R943" t="s">
        <v>44</v>
      </c>
    </row>
    <row r="944" spans="1:18" x14ac:dyDescent="0.35">
      <c r="A944">
        <v>1026</v>
      </c>
      <c r="B944" s="1">
        <v>45223</v>
      </c>
      <c r="C944" s="1" t="str">
        <f>TEXT(Sales[[#This Row],[Sale_Date]],"YYYY")</f>
        <v>2023</v>
      </c>
      <c r="D944" s="1" t="str">
        <f>TEXT(Sales[[#This Row],[Sale_Date]],"MMMM")</f>
        <v>October</v>
      </c>
      <c r="E944" s="1" t="str">
        <f>TEXT(Sales[[#This Row],[Sale_Date]],"DDDD")</f>
        <v>Tuesday</v>
      </c>
      <c r="F944" t="s">
        <v>23</v>
      </c>
      <c r="G944" t="s">
        <v>33</v>
      </c>
      <c r="H944" s="2">
        <v>2044.55</v>
      </c>
      <c r="I944">
        <v>45</v>
      </c>
      <c r="J944" t="s">
        <v>25</v>
      </c>
      <c r="K944" s="2">
        <v>1741.66</v>
      </c>
      <c r="L944" s="2">
        <v>2169.86</v>
      </c>
      <c r="M944" t="s">
        <v>16</v>
      </c>
      <c r="N944">
        <v>0.14000000000000001</v>
      </c>
      <c r="O944" s="2">
        <f>(Sales[[#This Row],[Unit_Price]]-Sales[[#This Row],[Discount]]*Sales[[#This Row],[Unit_Price]])</f>
        <v>1866.0796</v>
      </c>
      <c r="P944" t="s">
        <v>30</v>
      </c>
      <c r="Q944" t="s">
        <v>18</v>
      </c>
      <c r="R944" t="s">
        <v>49</v>
      </c>
    </row>
    <row r="945" spans="1:18" x14ac:dyDescent="0.35">
      <c r="A945">
        <v>1047</v>
      </c>
      <c r="B945" s="1">
        <v>45114</v>
      </c>
      <c r="C945" s="1" t="str">
        <f>TEXT(Sales[[#This Row],[Sale_Date]],"YYYY")</f>
        <v>2023</v>
      </c>
      <c r="D945" s="1" t="str">
        <f>TEXT(Sales[[#This Row],[Sale_Date]],"MMMM")</f>
        <v>July</v>
      </c>
      <c r="E945" s="1" t="str">
        <f>TEXT(Sales[[#This Row],[Sale_Date]],"DDDD")</f>
        <v>Friday</v>
      </c>
      <c r="F945" t="s">
        <v>23</v>
      </c>
      <c r="G945" t="s">
        <v>24</v>
      </c>
      <c r="H945" s="2">
        <v>9519.2999999999993</v>
      </c>
      <c r="I945">
        <v>15</v>
      </c>
      <c r="J945" t="s">
        <v>28</v>
      </c>
      <c r="K945" s="2">
        <v>957.95</v>
      </c>
      <c r="L945" s="2">
        <v>1329.26</v>
      </c>
      <c r="M945" t="s">
        <v>29</v>
      </c>
      <c r="N945">
        <v>0.21</v>
      </c>
      <c r="O945" s="2">
        <f>(Sales[[#This Row],[Unit_Price]]-Sales[[#This Row],[Discount]]*Sales[[#This Row],[Unit_Price]])</f>
        <v>1050.1154000000001</v>
      </c>
      <c r="P945" t="s">
        <v>17</v>
      </c>
      <c r="Q945" t="s">
        <v>18</v>
      </c>
      <c r="R945" t="s">
        <v>27</v>
      </c>
    </row>
    <row r="946" spans="1:18" x14ac:dyDescent="0.35">
      <c r="A946">
        <v>1086</v>
      </c>
      <c r="B946" s="1">
        <v>45288</v>
      </c>
      <c r="C946" s="1" t="str">
        <f>TEXT(Sales[[#This Row],[Sale_Date]],"YYYY")</f>
        <v>2023</v>
      </c>
      <c r="D946" s="1" t="str">
        <f>TEXT(Sales[[#This Row],[Sale_Date]],"MMMM")</f>
        <v>December</v>
      </c>
      <c r="E946" s="1" t="str">
        <f>TEXT(Sales[[#This Row],[Sale_Date]],"DDDD")</f>
        <v>Thursday</v>
      </c>
      <c r="F946" t="s">
        <v>13</v>
      </c>
      <c r="G946" t="s">
        <v>20</v>
      </c>
      <c r="H946" s="2">
        <v>1837.37</v>
      </c>
      <c r="I946">
        <v>46</v>
      </c>
      <c r="J946" t="s">
        <v>15</v>
      </c>
      <c r="K946" s="2">
        <v>83.86</v>
      </c>
      <c r="L946" s="2">
        <v>526.14</v>
      </c>
      <c r="M946" t="s">
        <v>16</v>
      </c>
      <c r="N946">
        <v>0.11</v>
      </c>
      <c r="O946" s="2">
        <f>(Sales[[#This Row],[Unit_Price]]-Sales[[#This Row],[Discount]]*Sales[[#This Row],[Unit_Price]])</f>
        <v>468.26459999999997</v>
      </c>
      <c r="P946" t="s">
        <v>30</v>
      </c>
      <c r="Q946" t="s">
        <v>18</v>
      </c>
      <c r="R946" t="s">
        <v>22</v>
      </c>
    </row>
    <row r="947" spans="1:18" x14ac:dyDescent="0.35">
      <c r="A947">
        <v>1056</v>
      </c>
      <c r="B947" s="1">
        <v>44940</v>
      </c>
      <c r="C947" s="1" t="str">
        <f>TEXT(Sales[[#This Row],[Sale_Date]],"YYYY")</f>
        <v>2023</v>
      </c>
      <c r="D947" s="1" t="str">
        <f>TEXT(Sales[[#This Row],[Sale_Date]],"MMMM")</f>
        <v>January</v>
      </c>
      <c r="E947" s="1" t="str">
        <f>TEXT(Sales[[#This Row],[Sale_Date]],"DDDD")</f>
        <v>Saturday</v>
      </c>
      <c r="F947" t="s">
        <v>32</v>
      </c>
      <c r="G947" t="s">
        <v>20</v>
      </c>
      <c r="H947" s="2">
        <v>5720.5</v>
      </c>
      <c r="I947">
        <v>25</v>
      </c>
      <c r="J947" t="s">
        <v>25</v>
      </c>
      <c r="K947" s="2">
        <v>2361.7399999999998</v>
      </c>
      <c r="L947" s="2">
        <v>2584.35</v>
      </c>
      <c r="M947" t="s">
        <v>16</v>
      </c>
      <c r="N947">
        <v>0.2</v>
      </c>
      <c r="O947" s="2">
        <f>(Sales[[#This Row],[Unit_Price]]-Sales[[#This Row],[Discount]]*Sales[[#This Row],[Unit_Price]])</f>
        <v>2067.48</v>
      </c>
      <c r="P947" t="s">
        <v>17</v>
      </c>
      <c r="Q947" t="s">
        <v>18</v>
      </c>
      <c r="R947" t="s">
        <v>36</v>
      </c>
    </row>
    <row r="948" spans="1:18" x14ac:dyDescent="0.35">
      <c r="A948">
        <v>1094</v>
      </c>
      <c r="B948" s="1">
        <v>44938</v>
      </c>
      <c r="C948" s="1" t="str">
        <f>TEXT(Sales[[#This Row],[Sale_Date]],"YYYY")</f>
        <v>2023</v>
      </c>
      <c r="D948" s="1" t="str">
        <f>TEXT(Sales[[#This Row],[Sale_Date]],"MMMM")</f>
        <v>January</v>
      </c>
      <c r="E948" s="1" t="str">
        <f>TEXT(Sales[[#This Row],[Sale_Date]],"DDDD")</f>
        <v>Thursday</v>
      </c>
      <c r="F948" t="s">
        <v>37</v>
      </c>
      <c r="G948" t="s">
        <v>20</v>
      </c>
      <c r="H948" s="2">
        <v>5835.21</v>
      </c>
      <c r="I948">
        <v>38</v>
      </c>
      <c r="J948" t="s">
        <v>25</v>
      </c>
      <c r="K948" s="2">
        <v>3443.98</v>
      </c>
      <c r="L948" s="2">
        <v>3820.3</v>
      </c>
      <c r="M948" t="s">
        <v>16</v>
      </c>
      <c r="N948">
        <v>0.01</v>
      </c>
      <c r="O948" s="2">
        <f>(Sales[[#This Row],[Unit_Price]]-Sales[[#This Row],[Discount]]*Sales[[#This Row],[Unit_Price]])</f>
        <v>3782.0970000000002</v>
      </c>
      <c r="P948" t="s">
        <v>30</v>
      </c>
      <c r="Q948" t="s">
        <v>21</v>
      </c>
      <c r="R948" t="s">
        <v>40</v>
      </c>
    </row>
    <row r="949" spans="1:18" x14ac:dyDescent="0.35">
      <c r="A949">
        <v>1063</v>
      </c>
      <c r="B949" s="1">
        <v>45013</v>
      </c>
      <c r="C949" s="1" t="str">
        <f>TEXT(Sales[[#This Row],[Sale_Date]],"YYYY")</f>
        <v>2023</v>
      </c>
      <c r="D949" s="1" t="str">
        <f>TEXT(Sales[[#This Row],[Sale_Date]],"MMMM")</f>
        <v>March</v>
      </c>
      <c r="E949" s="1" t="str">
        <f>TEXT(Sales[[#This Row],[Sale_Date]],"DDDD")</f>
        <v>Tuesday</v>
      </c>
      <c r="F949" t="s">
        <v>32</v>
      </c>
      <c r="G949" t="s">
        <v>24</v>
      </c>
      <c r="H949" s="2">
        <v>4947.28</v>
      </c>
      <c r="I949">
        <v>42</v>
      </c>
      <c r="J949" t="s">
        <v>25</v>
      </c>
      <c r="K949" s="2">
        <v>1170.07</v>
      </c>
      <c r="L949" s="2">
        <v>1669.94999999999</v>
      </c>
      <c r="M949" t="s">
        <v>16</v>
      </c>
      <c r="N949">
        <v>0.12</v>
      </c>
      <c r="O949" s="2">
        <f>(Sales[[#This Row],[Unit_Price]]-Sales[[#This Row],[Discount]]*Sales[[#This Row],[Unit_Price]])</f>
        <v>1469.5559999999912</v>
      </c>
      <c r="P949" t="s">
        <v>26</v>
      </c>
      <c r="Q949" t="s">
        <v>21</v>
      </c>
      <c r="R949" t="s">
        <v>43</v>
      </c>
    </row>
    <row r="950" spans="1:18" x14ac:dyDescent="0.35">
      <c r="A950">
        <v>1048</v>
      </c>
      <c r="B950" s="1">
        <v>44938</v>
      </c>
      <c r="C950" s="1" t="str">
        <f>TEXT(Sales[[#This Row],[Sale_Date]],"YYYY")</f>
        <v>2023</v>
      </c>
      <c r="D950" s="1" t="str">
        <f>TEXT(Sales[[#This Row],[Sale_Date]],"MMMM")</f>
        <v>January</v>
      </c>
      <c r="E950" s="1" t="str">
        <f>TEXT(Sales[[#This Row],[Sale_Date]],"DDDD")</f>
        <v>Thursday</v>
      </c>
      <c r="F950" t="s">
        <v>32</v>
      </c>
      <c r="G950" t="s">
        <v>33</v>
      </c>
      <c r="H950" s="2">
        <v>6482.98</v>
      </c>
      <c r="I950">
        <v>47</v>
      </c>
      <c r="J950" t="s">
        <v>28</v>
      </c>
      <c r="K950" s="2">
        <v>702.44</v>
      </c>
      <c r="L950" s="2">
        <v>1067.6600000000001</v>
      </c>
      <c r="M950" t="s">
        <v>29</v>
      </c>
      <c r="N950">
        <v>0.24</v>
      </c>
      <c r="O950" s="2">
        <f>(Sales[[#This Row],[Unit_Price]]-Sales[[#This Row],[Discount]]*Sales[[#This Row],[Unit_Price]])</f>
        <v>811.42160000000013</v>
      </c>
      <c r="P950" t="s">
        <v>17</v>
      </c>
      <c r="Q950" t="s">
        <v>21</v>
      </c>
      <c r="R950" t="s">
        <v>35</v>
      </c>
    </row>
    <row r="951" spans="1:18" x14ac:dyDescent="0.35">
      <c r="A951">
        <v>1061</v>
      </c>
      <c r="B951" s="1">
        <v>44951</v>
      </c>
      <c r="C951" s="1" t="str">
        <f>TEXT(Sales[[#This Row],[Sale_Date]],"YYYY")</f>
        <v>2023</v>
      </c>
      <c r="D951" s="1" t="str">
        <f>TEXT(Sales[[#This Row],[Sale_Date]],"MMMM")</f>
        <v>January</v>
      </c>
      <c r="E951" s="1" t="str">
        <f>TEXT(Sales[[#This Row],[Sale_Date]],"DDDD")</f>
        <v>Wednesday</v>
      </c>
      <c r="F951" t="s">
        <v>13</v>
      </c>
      <c r="G951" t="s">
        <v>33</v>
      </c>
      <c r="H951" s="2">
        <v>2375.2800000000002</v>
      </c>
      <c r="I951">
        <v>38</v>
      </c>
      <c r="J951" t="s">
        <v>15</v>
      </c>
      <c r="K951" s="2">
        <v>4440.8599999999997</v>
      </c>
      <c r="L951" s="2">
        <v>4506.8099999999904</v>
      </c>
      <c r="M951" t="s">
        <v>16</v>
      </c>
      <c r="N951">
        <v>0.24</v>
      </c>
      <c r="O951" s="2">
        <f>(Sales[[#This Row],[Unit_Price]]-Sales[[#This Row],[Discount]]*Sales[[#This Row],[Unit_Price]])</f>
        <v>3425.1755999999928</v>
      </c>
      <c r="P951" t="s">
        <v>26</v>
      </c>
      <c r="Q951" t="s">
        <v>18</v>
      </c>
      <c r="R951" t="s">
        <v>45</v>
      </c>
    </row>
    <row r="952" spans="1:18" x14ac:dyDescent="0.35">
      <c r="A952">
        <v>1081</v>
      </c>
      <c r="B952" s="1">
        <v>45227</v>
      </c>
      <c r="C952" s="1" t="str">
        <f>TEXT(Sales[[#This Row],[Sale_Date]],"YYYY")</f>
        <v>2023</v>
      </c>
      <c r="D952" s="1" t="str">
        <f>TEXT(Sales[[#This Row],[Sale_Date]],"MMMM")</f>
        <v>October</v>
      </c>
      <c r="E952" s="1" t="str">
        <f>TEXT(Sales[[#This Row],[Sale_Date]],"DDDD")</f>
        <v>Saturday</v>
      </c>
      <c r="F952" t="s">
        <v>32</v>
      </c>
      <c r="G952" t="s">
        <v>14</v>
      </c>
      <c r="H952" s="2">
        <v>5571.36</v>
      </c>
      <c r="I952">
        <v>23</v>
      </c>
      <c r="J952" t="s">
        <v>25</v>
      </c>
      <c r="K952" s="2">
        <v>1411.37</v>
      </c>
      <c r="L952" s="2">
        <v>1675.35</v>
      </c>
      <c r="M952" t="s">
        <v>29</v>
      </c>
      <c r="N952">
        <v>0.21</v>
      </c>
      <c r="O952" s="2">
        <f>(Sales[[#This Row],[Unit_Price]]-Sales[[#This Row],[Discount]]*Sales[[#This Row],[Unit_Price]])</f>
        <v>1323.5264999999999</v>
      </c>
      <c r="P952" t="s">
        <v>17</v>
      </c>
      <c r="Q952" t="s">
        <v>21</v>
      </c>
      <c r="R952" t="s">
        <v>52</v>
      </c>
    </row>
    <row r="953" spans="1:18" x14ac:dyDescent="0.35">
      <c r="A953">
        <v>1026</v>
      </c>
      <c r="B953" s="1">
        <v>45169</v>
      </c>
      <c r="C953" s="1" t="str">
        <f>TEXT(Sales[[#This Row],[Sale_Date]],"YYYY")</f>
        <v>2023</v>
      </c>
      <c r="D953" s="1" t="str">
        <f>TEXT(Sales[[#This Row],[Sale_Date]],"MMMM")</f>
        <v>August</v>
      </c>
      <c r="E953" s="1" t="str">
        <f>TEXT(Sales[[#This Row],[Sale_Date]],"DDDD")</f>
        <v>Thursday</v>
      </c>
      <c r="F953" t="s">
        <v>41</v>
      </c>
      <c r="G953" t="s">
        <v>33</v>
      </c>
      <c r="H953" s="2">
        <v>3784.52</v>
      </c>
      <c r="I953">
        <v>25</v>
      </c>
      <c r="J953" t="s">
        <v>34</v>
      </c>
      <c r="K953" s="2">
        <v>1156.8800000000001</v>
      </c>
      <c r="L953" s="2">
        <v>1454.68</v>
      </c>
      <c r="M953" t="s">
        <v>16</v>
      </c>
      <c r="N953">
        <v>0.06</v>
      </c>
      <c r="O953" s="2">
        <f>(Sales[[#This Row],[Unit_Price]]-Sales[[#This Row],[Discount]]*Sales[[#This Row],[Unit_Price]])</f>
        <v>1367.3992000000001</v>
      </c>
      <c r="P953" t="s">
        <v>30</v>
      </c>
      <c r="Q953" t="s">
        <v>18</v>
      </c>
      <c r="R953" t="s">
        <v>51</v>
      </c>
    </row>
    <row r="954" spans="1:18" x14ac:dyDescent="0.35">
      <c r="A954">
        <v>1036</v>
      </c>
      <c r="B954" s="1">
        <v>45048</v>
      </c>
      <c r="C954" s="1" t="str">
        <f>TEXT(Sales[[#This Row],[Sale_Date]],"YYYY")</f>
        <v>2023</v>
      </c>
      <c r="D954" s="1" t="str">
        <f>TEXT(Sales[[#This Row],[Sale_Date]],"MMMM")</f>
        <v>May</v>
      </c>
      <c r="E954" s="1" t="str">
        <f>TEXT(Sales[[#This Row],[Sale_Date]],"DDDD")</f>
        <v>Tuesday</v>
      </c>
      <c r="F954" t="s">
        <v>23</v>
      </c>
      <c r="G954" t="s">
        <v>14</v>
      </c>
      <c r="H954" s="2">
        <v>6650.51</v>
      </c>
      <c r="I954">
        <v>42</v>
      </c>
      <c r="J954" t="s">
        <v>15</v>
      </c>
      <c r="K954" s="2">
        <v>4292.63</v>
      </c>
      <c r="L954" s="2">
        <v>4387.99</v>
      </c>
      <c r="M954" t="s">
        <v>29</v>
      </c>
      <c r="N954">
        <v>7.0000000000000007E-2</v>
      </c>
      <c r="O954" s="2">
        <f>(Sales[[#This Row],[Unit_Price]]-Sales[[#This Row],[Discount]]*Sales[[#This Row],[Unit_Price]])</f>
        <v>4080.8306999999995</v>
      </c>
      <c r="P954" t="s">
        <v>30</v>
      </c>
      <c r="Q954" t="s">
        <v>21</v>
      </c>
      <c r="R954" t="s">
        <v>44</v>
      </c>
    </row>
    <row r="955" spans="1:18" x14ac:dyDescent="0.35">
      <c r="A955">
        <v>1001</v>
      </c>
      <c r="B955" s="1">
        <v>45073</v>
      </c>
      <c r="C955" s="1" t="str">
        <f>TEXT(Sales[[#This Row],[Sale_Date]],"YYYY")</f>
        <v>2023</v>
      </c>
      <c r="D955" s="1" t="str">
        <f>TEXT(Sales[[#This Row],[Sale_Date]],"MMMM")</f>
        <v>May</v>
      </c>
      <c r="E955" s="1" t="str">
        <f>TEXT(Sales[[#This Row],[Sale_Date]],"DDDD")</f>
        <v>Saturday</v>
      </c>
      <c r="F955" t="s">
        <v>41</v>
      </c>
      <c r="G955" t="s">
        <v>24</v>
      </c>
      <c r="H955" s="2">
        <v>1498.11</v>
      </c>
      <c r="I955">
        <v>7</v>
      </c>
      <c r="J955" t="s">
        <v>34</v>
      </c>
      <c r="K955" s="2">
        <v>4094.68</v>
      </c>
      <c r="L955" s="2">
        <v>4576.5</v>
      </c>
      <c r="M955" t="s">
        <v>29</v>
      </c>
      <c r="N955">
        <v>0.3</v>
      </c>
      <c r="O955" s="2">
        <f>(Sales[[#This Row],[Unit_Price]]-Sales[[#This Row],[Discount]]*Sales[[#This Row],[Unit_Price]])</f>
        <v>3203.55</v>
      </c>
      <c r="P955" t="s">
        <v>17</v>
      </c>
      <c r="Q955" t="s">
        <v>21</v>
      </c>
      <c r="R955" t="s">
        <v>42</v>
      </c>
    </row>
    <row r="956" spans="1:18" x14ac:dyDescent="0.35">
      <c r="A956">
        <v>1008</v>
      </c>
      <c r="B956" s="1">
        <v>44981</v>
      </c>
      <c r="C956" s="1" t="str">
        <f>TEXT(Sales[[#This Row],[Sale_Date]],"YYYY")</f>
        <v>2023</v>
      </c>
      <c r="D956" s="1" t="str">
        <f>TEXT(Sales[[#This Row],[Sale_Date]],"MMMM")</f>
        <v>February</v>
      </c>
      <c r="E956" s="1" t="str">
        <f>TEXT(Sales[[#This Row],[Sale_Date]],"DDDD")</f>
        <v>Friday</v>
      </c>
      <c r="F956" t="s">
        <v>37</v>
      </c>
      <c r="G956" t="s">
        <v>20</v>
      </c>
      <c r="H956" s="2">
        <v>5751.69</v>
      </c>
      <c r="I956">
        <v>22</v>
      </c>
      <c r="J956" t="s">
        <v>34</v>
      </c>
      <c r="K956" s="2">
        <v>2269.3200000000002</v>
      </c>
      <c r="L956" s="2">
        <v>2365.35</v>
      </c>
      <c r="M956" t="s">
        <v>29</v>
      </c>
      <c r="N956">
        <v>0.03</v>
      </c>
      <c r="O956" s="2">
        <f>(Sales[[#This Row],[Unit_Price]]-Sales[[#This Row],[Discount]]*Sales[[#This Row],[Unit_Price]])</f>
        <v>2294.3894999999998</v>
      </c>
      <c r="P956" t="s">
        <v>17</v>
      </c>
      <c r="Q956" t="s">
        <v>21</v>
      </c>
      <c r="R956" t="s">
        <v>40</v>
      </c>
    </row>
    <row r="957" spans="1:18" x14ac:dyDescent="0.35">
      <c r="A957">
        <v>1099</v>
      </c>
      <c r="B957" s="1">
        <v>45164</v>
      </c>
      <c r="C957" s="1" t="str">
        <f>TEXT(Sales[[#This Row],[Sale_Date]],"YYYY")</f>
        <v>2023</v>
      </c>
      <c r="D957" s="1" t="str">
        <f>TEXT(Sales[[#This Row],[Sale_Date]],"MMMM")</f>
        <v>August</v>
      </c>
      <c r="E957" s="1" t="str">
        <f>TEXT(Sales[[#This Row],[Sale_Date]],"DDDD")</f>
        <v>Saturday</v>
      </c>
      <c r="F957" t="s">
        <v>23</v>
      </c>
      <c r="G957" t="s">
        <v>20</v>
      </c>
      <c r="H957" s="2">
        <v>1934.18</v>
      </c>
      <c r="I957">
        <v>17</v>
      </c>
      <c r="J957" t="s">
        <v>25</v>
      </c>
      <c r="K957" s="2">
        <v>2471.73</v>
      </c>
      <c r="L957" s="2">
        <v>2568.73</v>
      </c>
      <c r="M957" t="s">
        <v>29</v>
      </c>
      <c r="N957">
        <v>0.05</v>
      </c>
      <c r="O957" s="2">
        <f>(Sales[[#This Row],[Unit_Price]]-Sales[[#This Row],[Discount]]*Sales[[#This Row],[Unit_Price]])</f>
        <v>2440.2935000000002</v>
      </c>
      <c r="P957" t="s">
        <v>17</v>
      </c>
      <c r="Q957" t="s">
        <v>21</v>
      </c>
      <c r="R957" t="s">
        <v>46</v>
      </c>
    </row>
    <row r="958" spans="1:18" x14ac:dyDescent="0.35">
      <c r="A958">
        <v>1052</v>
      </c>
      <c r="B958" s="1">
        <v>45282</v>
      </c>
      <c r="C958" s="1" t="str">
        <f>TEXT(Sales[[#This Row],[Sale_Date]],"YYYY")</f>
        <v>2023</v>
      </c>
      <c r="D958" s="1" t="str">
        <f>TEXT(Sales[[#This Row],[Sale_Date]],"MMMM")</f>
        <v>December</v>
      </c>
      <c r="E958" s="1" t="str">
        <f>TEXT(Sales[[#This Row],[Sale_Date]],"DDDD")</f>
        <v>Friday</v>
      </c>
      <c r="F958" t="s">
        <v>32</v>
      </c>
      <c r="G958" t="s">
        <v>20</v>
      </c>
      <c r="H958" s="2">
        <v>2858.57</v>
      </c>
      <c r="I958">
        <v>18</v>
      </c>
      <c r="J958" t="s">
        <v>25</v>
      </c>
      <c r="K958" s="2">
        <v>1127.8599999999999</v>
      </c>
      <c r="L958" s="2">
        <v>1586.29</v>
      </c>
      <c r="M958" t="s">
        <v>29</v>
      </c>
      <c r="N958">
        <v>0.04</v>
      </c>
      <c r="O958" s="2">
        <f>(Sales[[#This Row],[Unit_Price]]-Sales[[#This Row],[Discount]]*Sales[[#This Row],[Unit_Price]])</f>
        <v>1522.8383999999999</v>
      </c>
      <c r="P958" t="s">
        <v>30</v>
      </c>
      <c r="Q958" t="s">
        <v>18</v>
      </c>
      <c r="R958" t="s">
        <v>36</v>
      </c>
    </row>
    <row r="959" spans="1:18" x14ac:dyDescent="0.35">
      <c r="A959">
        <v>1079</v>
      </c>
      <c r="B959" s="1">
        <v>45099</v>
      </c>
      <c r="C959" s="1" t="str">
        <f>TEXT(Sales[[#This Row],[Sale_Date]],"YYYY")</f>
        <v>2023</v>
      </c>
      <c r="D959" s="1" t="str">
        <f>TEXT(Sales[[#This Row],[Sale_Date]],"MMMM")</f>
        <v>June</v>
      </c>
      <c r="E959" s="1" t="str">
        <f>TEXT(Sales[[#This Row],[Sale_Date]],"DDDD")</f>
        <v>Thursday</v>
      </c>
      <c r="F959" t="s">
        <v>37</v>
      </c>
      <c r="G959" t="s">
        <v>33</v>
      </c>
      <c r="H959" s="2">
        <v>2265.23</v>
      </c>
      <c r="I959">
        <v>49</v>
      </c>
      <c r="J959" t="s">
        <v>28</v>
      </c>
      <c r="K959" s="2">
        <v>437.59</v>
      </c>
      <c r="L959" s="2">
        <v>675.54</v>
      </c>
      <c r="M959" t="s">
        <v>16</v>
      </c>
      <c r="N959">
        <v>0.1</v>
      </c>
      <c r="O959" s="2">
        <f>(Sales[[#This Row],[Unit_Price]]-Sales[[#This Row],[Discount]]*Sales[[#This Row],[Unit_Price]])</f>
        <v>607.98599999999999</v>
      </c>
      <c r="P959" t="s">
        <v>17</v>
      </c>
      <c r="Q959" t="s">
        <v>18</v>
      </c>
      <c r="R959" t="s">
        <v>47</v>
      </c>
    </row>
    <row r="960" spans="1:18" x14ac:dyDescent="0.35">
      <c r="A960">
        <v>1047</v>
      </c>
      <c r="B960" s="1">
        <v>45147</v>
      </c>
      <c r="C960" s="1" t="str">
        <f>TEXT(Sales[[#This Row],[Sale_Date]],"YYYY")</f>
        <v>2023</v>
      </c>
      <c r="D960" s="1" t="str">
        <f>TEXT(Sales[[#This Row],[Sale_Date]],"MMMM")</f>
        <v>August</v>
      </c>
      <c r="E960" s="1" t="str">
        <f>TEXT(Sales[[#This Row],[Sale_Date]],"DDDD")</f>
        <v>Wednesday</v>
      </c>
      <c r="F960" t="s">
        <v>23</v>
      </c>
      <c r="G960" t="s">
        <v>14</v>
      </c>
      <c r="H960" s="2">
        <v>1910.09</v>
      </c>
      <c r="I960">
        <v>41</v>
      </c>
      <c r="J960" t="s">
        <v>28</v>
      </c>
      <c r="K960" s="2">
        <v>2888.49</v>
      </c>
      <c r="L960" s="2">
        <v>2929.45</v>
      </c>
      <c r="M960" t="s">
        <v>29</v>
      </c>
      <c r="N960">
        <v>0.06</v>
      </c>
      <c r="O960" s="2">
        <f>(Sales[[#This Row],[Unit_Price]]-Sales[[#This Row],[Discount]]*Sales[[#This Row],[Unit_Price]])</f>
        <v>2753.683</v>
      </c>
      <c r="P960" t="s">
        <v>17</v>
      </c>
      <c r="Q960" t="s">
        <v>21</v>
      </c>
      <c r="R960" t="s">
        <v>44</v>
      </c>
    </row>
    <row r="961" spans="1:18" x14ac:dyDescent="0.35">
      <c r="A961">
        <v>1056</v>
      </c>
      <c r="B961" s="1">
        <v>45045</v>
      </c>
      <c r="C961" s="1" t="str">
        <f>TEXT(Sales[[#This Row],[Sale_Date]],"YYYY")</f>
        <v>2023</v>
      </c>
      <c r="D961" s="1" t="str">
        <f>TEXT(Sales[[#This Row],[Sale_Date]],"MMMM")</f>
        <v>April</v>
      </c>
      <c r="E961" s="1" t="str">
        <f>TEXT(Sales[[#This Row],[Sale_Date]],"DDDD")</f>
        <v>Saturday</v>
      </c>
      <c r="F961" t="s">
        <v>32</v>
      </c>
      <c r="G961" t="s">
        <v>14</v>
      </c>
      <c r="H961" s="2">
        <v>8274.5400000000009</v>
      </c>
      <c r="I961">
        <v>10</v>
      </c>
      <c r="J961" t="s">
        <v>28</v>
      </c>
      <c r="K961" s="2">
        <v>536.80999999999995</v>
      </c>
      <c r="L961" s="2">
        <v>839.92</v>
      </c>
      <c r="M961" t="s">
        <v>16</v>
      </c>
      <c r="N961">
        <v>0.15</v>
      </c>
      <c r="O961" s="2">
        <f>(Sales[[#This Row],[Unit_Price]]-Sales[[#This Row],[Discount]]*Sales[[#This Row],[Unit_Price]])</f>
        <v>713.93200000000002</v>
      </c>
      <c r="P961" t="s">
        <v>26</v>
      </c>
      <c r="Q961" t="s">
        <v>18</v>
      </c>
      <c r="R961" t="s">
        <v>52</v>
      </c>
    </row>
    <row r="962" spans="1:18" x14ac:dyDescent="0.35">
      <c r="A962">
        <v>1086</v>
      </c>
      <c r="B962" s="1">
        <v>45235</v>
      </c>
      <c r="C962" s="1" t="str">
        <f>TEXT(Sales[[#This Row],[Sale_Date]],"YYYY")</f>
        <v>2023</v>
      </c>
      <c r="D962" s="1" t="str">
        <f>TEXT(Sales[[#This Row],[Sale_Date]],"MMMM")</f>
        <v>November</v>
      </c>
      <c r="E962" s="1" t="str">
        <f>TEXT(Sales[[#This Row],[Sale_Date]],"DDDD")</f>
        <v>Sunday</v>
      </c>
      <c r="F962" t="s">
        <v>41</v>
      </c>
      <c r="G962" t="s">
        <v>24</v>
      </c>
      <c r="H962" s="2">
        <v>2928.5</v>
      </c>
      <c r="I962">
        <v>10</v>
      </c>
      <c r="J962" t="s">
        <v>15</v>
      </c>
      <c r="K962" s="2">
        <v>2273.91</v>
      </c>
      <c r="L962" s="2">
        <v>2578.7999999999902</v>
      </c>
      <c r="M962" t="s">
        <v>29</v>
      </c>
      <c r="N962">
        <v>0.14000000000000001</v>
      </c>
      <c r="O962" s="2">
        <f>(Sales[[#This Row],[Unit_Price]]-Sales[[#This Row],[Discount]]*Sales[[#This Row],[Unit_Price]])</f>
        <v>2217.7679999999914</v>
      </c>
      <c r="P962" t="s">
        <v>17</v>
      </c>
      <c r="Q962" t="s">
        <v>18</v>
      </c>
      <c r="R962" t="s">
        <v>42</v>
      </c>
    </row>
    <row r="963" spans="1:18" x14ac:dyDescent="0.35">
      <c r="A963">
        <v>1014</v>
      </c>
      <c r="B963" s="1">
        <v>45109</v>
      </c>
      <c r="C963" s="1" t="str">
        <f>TEXT(Sales[[#This Row],[Sale_Date]],"YYYY")</f>
        <v>2023</v>
      </c>
      <c r="D963" s="1" t="str">
        <f>TEXT(Sales[[#This Row],[Sale_Date]],"MMMM")</f>
        <v>July</v>
      </c>
      <c r="E963" s="1" t="str">
        <f>TEXT(Sales[[#This Row],[Sale_Date]],"DDDD")</f>
        <v>Sunday</v>
      </c>
      <c r="F963" t="s">
        <v>23</v>
      </c>
      <c r="G963" t="s">
        <v>33</v>
      </c>
      <c r="H963" s="2">
        <v>9278.5300000000007</v>
      </c>
      <c r="I963">
        <v>7</v>
      </c>
      <c r="J963" t="s">
        <v>28</v>
      </c>
      <c r="K963" s="2">
        <v>4705.46</v>
      </c>
      <c r="L963" s="2">
        <v>4747.07</v>
      </c>
      <c r="M963" t="s">
        <v>29</v>
      </c>
      <c r="N963">
        <v>0.27</v>
      </c>
      <c r="O963" s="2">
        <f>(Sales[[#This Row],[Unit_Price]]-Sales[[#This Row],[Discount]]*Sales[[#This Row],[Unit_Price]])</f>
        <v>3465.3610999999996</v>
      </c>
      <c r="P963" t="s">
        <v>26</v>
      </c>
      <c r="Q963" t="s">
        <v>21</v>
      </c>
      <c r="R963" t="s">
        <v>49</v>
      </c>
    </row>
    <row r="964" spans="1:18" x14ac:dyDescent="0.35">
      <c r="A964">
        <v>1090</v>
      </c>
      <c r="B964" s="1">
        <v>45214</v>
      </c>
      <c r="C964" s="1" t="str">
        <f>TEXT(Sales[[#This Row],[Sale_Date]],"YYYY")</f>
        <v>2023</v>
      </c>
      <c r="D964" s="1" t="str">
        <f>TEXT(Sales[[#This Row],[Sale_Date]],"MMMM")</f>
        <v>October</v>
      </c>
      <c r="E964" s="1" t="str">
        <f>TEXT(Sales[[#This Row],[Sale_Date]],"DDDD")</f>
        <v>Sunday</v>
      </c>
      <c r="F964" t="s">
        <v>32</v>
      </c>
      <c r="G964" t="s">
        <v>24</v>
      </c>
      <c r="H964" s="2">
        <v>9702.27</v>
      </c>
      <c r="I964">
        <v>48</v>
      </c>
      <c r="J964" t="s">
        <v>34</v>
      </c>
      <c r="K964" s="2">
        <v>4766.53</v>
      </c>
      <c r="L964" s="2">
        <v>5253.07</v>
      </c>
      <c r="M964" t="s">
        <v>16</v>
      </c>
      <c r="N964">
        <v>0.01</v>
      </c>
      <c r="O964" s="2">
        <f>(Sales[[#This Row],[Unit_Price]]-Sales[[#This Row],[Discount]]*Sales[[#This Row],[Unit_Price]])</f>
        <v>5200.5392999999995</v>
      </c>
      <c r="P964" t="s">
        <v>26</v>
      </c>
      <c r="Q964" t="s">
        <v>18</v>
      </c>
      <c r="R964" t="s">
        <v>43</v>
      </c>
    </row>
    <row r="965" spans="1:18" x14ac:dyDescent="0.35">
      <c r="A965">
        <v>1028</v>
      </c>
      <c r="B965" s="1">
        <v>45233</v>
      </c>
      <c r="C965" s="1" t="str">
        <f>TEXT(Sales[[#This Row],[Sale_Date]],"YYYY")</f>
        <v>2023</v>
      </c>
      <c r="D965" s="1" t="str">
        <f>TEXT(Sales[[#This Row],[Sale_Date]],"MMMM")</f>
        <v>November</v>
      </c>
      <c r="E965" s="1" t="str">
        <f>TEXT(Sales[[#This Row],[Sale_Date]],"DDDD")</f>
        <v>Friday</v>
      </c>
      <c r="F965" t="s">
        <v>41</v>
      </c>
      <c r="G965" t="s">
        <v>14</v>
      </c>
      <c r="H965" s="2">
        <v>5755.48</v>
      </c>
      <c r="I965">
        <v>38</v>
      </c>
      <c r="J965" t="s">
        <v>28</v>
      </c>
      <c r="K965" s="2">
        <v>1234.69</v>
      </c>
      <c r="L965" s="2">
        <v>1511.26</v>
      </c>
      <c r="M965" t="s">
        <v>29</v>
      </c>
      <c r="N965">
        <v>0.1</v>
      </c>
      <c r="O965" s="2">
        <f>(Sales[[#This Row],[Unit_Price]]-Sales[[#This Row],[Discount]]*Sales[[#This Row],[Unit_Price]])</f>
        <v>1360.134</v>
      </c>
      <c r="P965" t="s">
        <v>26</v>
      </c>
      <c r="Q965" t="s">
        <v>18</v>
      </c>
      <c r="R965" t="s">
        <v>48</v>
      </c>
    </row>
    <row r="966" spans="1:18" x14ac:dyDescent="0.35">
      <c r="A966">
        <v>1087</v>
      </c>
      <c r="B966" s="1">
        <v>45226</v>
      </c>
      <c r="C966" s="1" t="str">
        <f>TEXT(Sales[[#This Row],[Sale_Date]],"YYYY")</f>
        <v>2023</v>
      </c>
      <c r="D966" s="1" t="str">
        <f>TEXT(Sales[[#This Row],[Sale_Date]],"MMMM")</f>
        <v>October</v>
      </c>
      <c r="E966" s="1" t="str">
        <f>TEXT(Sales[[#This Row],[Sale_Date]],"DDDD")</f>
        <v>Friday</v>
      </c>
      <c r="F966" t="s">
        <v>37</v>
      </c>
      <c r="G966" t="s">
        <v>14</v>
      </c>
      <c r="H966" s="2">
        <v>1515.71</v>
      </c>
      <c r="I966">
        <v>27</v>
      </c>
      <c r="J966" t="s">
        <v>25</v>
      </c>
      <c r="K966" s="2">
        <v>3139.36</v>
      </c>
      <c r="L966" s="2">
        <v>3423.66</v>
      </c>
      <c r="M966" t="s">
        <v>29</v>
      </c>
      <c r="N966">
        <v>0.18</v>
      </c>
      <c r="O966" s="2">
        <f>(Sales[[#This Row],[Unit_Price]]-Sales[[#This Row],[Discount]]*Sales[[#This Row],[Unit_Price]])</f>
        <v>2807.4011999999998</v>
      </c>
      <c r="P966" t="s">
        <v>30</v>
      </c>
      <c r="Q966" t="s">
        <v>18</v>
      </c>
      <c r="R966" t="s">
        <v>39</v>
      </c>
    </row>
    <row r="967" spans="1:18" x14ac:dyDescent="0.35">
      <c r="A967">
        <v>1078</v>
      </c>
      <c r="B967" s="1">
        <v>45008</v>
      </c>
      <c r="C967" s="1" t="str">
        <f>TEXT(Sales[[#This Row],[Sale_Date]],"YYYY")</f>
        <v>2023</v>
      </c>
      <c r="D967" s="1" t="str">
        <f>TEXT(Sales[[#This Row],[Sale_Date]],"MMMM")</f>
        <v>March</v>
      </c>
      <c r="E967" s="1" t="str">
        <f>TEXT(Sales[[#This Row],[Sale_Date]],"DDDD")</f>
        <v>Thursday</v>
      </c>
      <c r="F967" t="s">
        <v>37</v>
      </c>
      <c r="G967" t="s">
        <v>20</v>
      </c>
      <c r="H967" s="2">
        <v>3808.03</v>
      </c>
      <c r="I967">
        <v>33</v>
      </c>
      <c r="J967" t="s">
        <v>28</v>
      </c>
      <c r="K967" s="2">
        <v>2396.6799999999998</v>
      </c>
      <c r="L967" s="2">
        <v>2661.54</v>
      </c>
      <c r="M967" t="s">
        <v>29</v>
      </c>
      <c r="N967">
        <v>0.18</v>
      </c>
      <c r="O967" s="2">
        <f>(Sales[[#This Row],[Unit_Price]]-Sales[[#This Row],[Discount]]*Sales[[#This Row],[Unit_Price]])</f>
        <v>2182.4628000000002</v>
      </c>
      <c r="P967" t="s">
        <v>26</v>
      </c>
      <c r="Q967" t="s">
        <v>18</v>
      </c>
      <c r="R967" t="s">
        <v>40</v>
      </c>
    </row>
    <row r="968" spans="1:18" x14ac:dyDescent="0.35">
      <c r="A968">
        <v>1088</v>
      </c>
      <c r="B968" s="1">
        <v>45137</v>
      </c>
      <c r="C968" s="1" t="str">
        <f>TEXT(Sales[[#This Row],[Sale_Date]],"YYYY")</f>
        <v>2023</v>
      </c>
      <c r="D968" s="1" t="str">
        <f>TEXT(Sales[[#This Row],[Sale_Date]],"MMMM")</f>
        <v>July</v>
      </c>
      <c r="E968" s="1" t="str">
        <f>TEXT(Sales[[#This Row],[Sale_Date]],"DDDD")</f>
        <v>Sunday</v>
      </c>
      <c r="F968" t="s">
        <v>37</v>
      </c>
      <c r="G968" t="s">
        <v>33</v>
      </c>
      <c r="H968" s="2">
        <v>7997.55</v>
      </c>
      <c r="I968">
        <v>1</v>
      </c>
      <c r="J968" t="s">
        <v>15</v>
      </c>
      <c r="K968" s="2">
        <v>4384.6400000000003</v>
      </c>
      <c r="L968" s="2">
        <v>4693.8999999999996</v>
      </c>
      <c r="M968" t="s">
        <v>29</v>
      </c>
      <c r="N968">
        <v>0.14000000000000001</v>
      </c>
      <c r="O968" s="2">
        <f>(Sales[[#This Row],[Unit_Price]]-Sales[[#This Row],[Discount]]*Sales[[#This Row],[Unit_Price]])</f>
        <v>4036.7539999999999</v>
      </c>
      <c r="P968" t="s">
        <v>17</v>
      </c>
      <c r="Q968" t="s">
        <v>21</v>
      </c>
      <c r="R968" t="s">
        <v>47</v>
      </c>
    </row>
    <row r="969" spans="1:18" x14ac:dyDescent="0.35">
      <c r="A969">
        <v>1002</v>
      </c>
      <c r="B969" s="1">
        <v>45076</v>
      </c>
      <c r="C969" s="1" t="str">
        <f>TEXT(Sales[[#This Row],[Sale_Date]],"YYYY")</f>
        <v>2023</v>
      </c>
      <c r="D969" s="1" t="str">
        <f>TEXT(Sales[[#This Row],[Sale_Date]],"MMMM")</f>
        <v>May</v>
      </c>
      <c r="E969" s="1" t="str">
        <f>TEXT(Sales[[#This Row],[Sale_Date]],"DDDD")</f>
        <v>Tuesday</v>
      </c>
      <c r="F969" t="s">
        <v>37</v>
      </c>
      <c r="G969" t="s">
        <v>14</v>
      </c>
      <c r="H969" s="2">
        <v>3737.17</v>
      </c>
      <c r="I969">
        <v>44</v>
      </c>
      <c r="J969" t="s">
        <v>15</v>
      </c>
      <c r="K969" s="2">
        <v>1393.58</v>
      </c>
      <c r="L969" s="2">
        <v>1533.09</v>
      </c>
      <c r="M969" t="s">
        <v>16</v>
      </c>
      <c r="N969">
        <v>0.24</v>
      </c>
      <c r="O969" s="2">
        <f>(Sales[[#This Row],[Unit_Price]]-Sales[[#This Row],[Discount]]*Sales[[#This Row],[Unit_Price]])</f>
        <v>1165.1484</v>
      </c>
      <c r="P969" t="s">
        <v>30</v>
      </c>
      <c r="Q969" t="s">
        <v>21</v>
      </c>
      <c r="R969" t="s">
        <v>39</v>
      </c>
    </row>
    <row r="970" spans="1:18" x14ac:dyDescent="0.35">
      <c r="A970">
        <v>1026</v>
      </c>
      <c r="B970" s="1">
        <v>44963</v>
      </c>
      <c r="C970" s="1" t="str">
        <f>TEXT(Sales[[#This Row],[Sale_Date]],"YYYY")</f>
        <v>2023</v>
      </c>
      <c r="D970" s="1" t="str">
        <f>TEXT(Sales[[#This Row],[Sale_Date]],"MMMM")</f>
        <v>February</v>
      </c>
      <c r="E970" s="1" t="str">
        <f>TEXT(Sales[[#This Row],[Sale_Date]],"DDDD")</f>
        <v>Monday</v>
      </c>
      <c r="F970" t="s">
        <v>13</v>
      </c>
      <c r="G970" t="s">
        <v>20</v>
      </c>
      <c r="H970" s="2">
        <v>961.47</v>
      </c>
      <c r="I970">
        <v>34</v>
      </c>
      <c r="J970" t="s">
        <v>34</v>
      </c>
      <c r="K970" s="2">
        <v>68.33</v>
      </c>
      <c r="L970" s="2">
        <v>219.07999999999899</v>
      </c>
      <c r="M970" t="s">
        <v>29</v>
      </c>
      <c r="N970">
        <v>0.02</v>
      </c>
      <c r="O970" s="2">
        <f>(Sales[[#This Row],[Unit_Price]]-Sales[[#This Row],[Discount]]*Sales[[#This Row],[Unit_Price]])</f>
        <v>214.698399999999</v>
      </c>
      <c r="P970" t="s">
        <v>30</v>
      </c>
      <c r="Q970" t="s">
        <v>18</v>
      </c>
      <c r="R970" t="s">
        <v>22</v>
      </c>
    </row>
    <row r="971" spans="1:18" x14ac:dyDescent="0.35">
      <c r="A971">
        <v>1014</v>
      </c>
      <c r="B971" s="1">
        <v>45278</v>
      </c>
      <c r="C971" s="1" t="str">
        <f>TEXT(Sales[[#This Row],[Sale_Date]],"YYYY")</f>
        <v>2023</v>
      </c>
      <c r="D971" s="1" t="str">
        <f>TEXT(Sales[[#This Row],[Sale_Date]],"MMMM")</f>
        <v>December</v>
      </c>
      <c r="E971" s="1" t="str">
        <f>TEXT(Sales[[#This Row],[Sale_Date]],"DDDD")</f>
        <v>Monday</v>
      </c>
      <c r="F971" t="s">
        <v>23</v>
      </c>
      <c r="G971" t="s">
        <v>33</v>
      </c>
      <c r="H971" s="2">
        <v>5612.17</v>
      </c>
      <c r="I971">
        <v>4</v>
      </c>
      <c r="J971" t="s">
        <v>15</v>
      </c>
      <c r="K971" s="2">
        <v>854.68</v>
      </c>
      <c r="L971" s="2">
        <v>1115.24</v>
      </c>
      <c r="M971" t="s">
        <v>29</v>
      </c>
      <c r="N971">
        <v>0.24</v>
      </c>
      <c r="O971" s="2">
        <f>(Sales[[#This Row],[Unit_Price]]-Sales[[#This Row],[Discount]]*Sales[[#This Row],[Unit_Price]])</f>
        <v>847.58240000000001</v>
      </c>
      <c r="P971" t="s">
        <v>30</v>
      </c>
      <c r="Q971" t="s">
        <v>21</v>
      </c>
      <c r="R971" t="s">
        <v>49</v>
      </c>
    </row>
    <row r="972" spans="1:18" x14ac:dyDescent="0.35">
      <c r="A972">
        <v>1059</v>
      </c>
      <c r="B972" s="1">
        <v>45238</v>
      </c>
      <c r="C972" s="1" t="str">
        <f>TEXT(Sales[[#This Row],[Sale_Date]],"YYYY")</f>
        <v>2023</v>
      </c>
      <c r="D972" s="1" t="str">
        <f>TEXT(Sales[[#This Row],[Sale_Date]],"MMMM")</f>
        <v>November</v>
      </c>
      <c r="E972" s="1" t="str">
        <f>TEXT(Sales[[#This Row],[Sale_Date]],"DDDD")</f>
        <v>Wednesday</v>
      </c>
      <c r="F972" t="s">
        <v>23</v>
      </c>
      <c r="G972" t="s">
        <v>24</v>
      </c>
      <c r="H972" s="2">
        <v>8466.7000000000007</v>
      </c>
      <c r="I972">
        <v>17</v>
      </c>
      <c r="J972" t="s">
        <v>28</v>
      </c>
      <c r="K972" s="2">
        <v>1780.14</v>
      </c>
      <c r="L972" s="2">
        <v>2185.42</v>
      </c>
      <c r="M972" t="s">
        <v>16</v>
      </c>
      <c r="N972">
        <v>0.15</v>
      </c>
      <c r="O972" s="2">
        <f>(Sales[[#This Row],[Unit_Price]]-Sales[[#This Row],[Discount]]*Sales[[#This Row],[Unit_Price]])</f>
        <v>1857.607</v>
      </c>
      <c r="P972" t="s">
        <v>30</v>
      </c>
      <c r="Q972" t="s">
        <v>21</v>
      </c>
      <c r="R972" t="s">
        <v>27</v>
      </c>
    </row>
    <row r="973" spans="1:18" x14ac:dyDescent="0.35">
      <c r="A973">
        <v>1056</v>
      </c>
      <c r="B973" s="1">
        <v>45287</v>
      </c>
      <c r="C973" s="1" t="str">
        <f>TEXT(Sales[[#This Row],[Sale_Date]],"YYYY")</f>
        <v>2023</v>
      </c>
      <c r="D973" s="1" t="str">
        <f>TEXT(Sales[[#This Row],[Sale_Date]],"MMMM")</f>
        <v>December</v>
      </c>
      <c r="E973" s="1" t="str">
        <f>TEXT(Sales[[#This Row],[Sale_Date]],"DDDD")</f>
        <v>Wednesday</v>
      </c>
      <c r="F973" t="s">
        <v>13</v>
      </c>
      <c r="G973" t="s">
        <v>33</v>
      </c>
      <c r="H973" s="2">
        <v>7979.67</v>
      </c>
      <c r="I973">
        <v>4</v>
      </c>
      <c r="J973" t="s">
        <v>25</v>
      </c>
      <c r="K973" s="2">
        <v>1612.82</v>
      </c>
      <c r="L973" s="2">
        <v>1647.25</v>
      </c>
      <c r="M973" t="s">
        <v>16</v>
      </c>
      <c r="N973">
        <v>0.04</v>
      </c>
      <c r="O973" s="2">
        <f>(Sales[[#This Row],[Unit_Price]]-Sales[[#This Row],[Discount]]*Sales[[#This Row],[Unit_Price]])</f>
        <v>1581.36</v>
      </c>
      <c r="P973" t="s">
        <v>30</v>
      </c>
      <c r="Q973" t="s">
        <v>21</v>
      </c>
      <c r="R973" t="s">
        <v>45</v>
      </c>
    </row>
    <row r="974" spans="1:18" x14ac:dyDescent="0.35">
      <c r="A974">
        <v>1007</v>
      </c>
      <c r="B974" s="1">
        <v>44985</v>
      </c>
      <c r="C974" s="1" t="str">
        <f>TEXT(Sales[[#This Row],[Sale_Date]],"YYYY")</f>
        <v>2023</v>
      </c>
      <c r="D974" s="1" t="str">
        <f>TEXT(Sales[[#This Row],[Sale_Date]],"MMMM")</f>
        <v>February</v>
      </c>
      <c r="E974" s="1" t="str">
        <f>TEXT(Sales[[#This Row],[Sale_Date]],"DDDD")</f>
        <v>Tuesday</v>
      </c>
      <c r="F974" t="s">
        <v>32</v>
      </c>
      <c r="G974" t="s">
        <v>33</v>
      </c>
      <c r="H974" s="2">
        <v>1833.72</v>
      </c>
      <c r="I974">
        <v>43</v>
      </c>
      <c r="J974" t="s">
        <v>15</v>
      </c>
      <c r="K974" s="2">
        <v>3967.25</v>
      </c>
      <c r="L974" s="2">
        <v>4272.92</v>
      </c>
      <c r="M974" t="s">
        <v>29</v>
      </c>
      <c r="N974">
        <v>0.27</v>
      </c>
      <c r="O974" s="2">
        <f>(Sales[[#This Row],[Unit_Price]]-Sales[[#This Row],[Discount]]*Sales[[#This Row],[Unit_Price]])</f>
        <v>3119.2316000000001</v>
      </c>
      <c r="P974" t="s">
        <v>30</v>
      </c>
      <c r="Q974" t="s">
        <v>18</v>
      </c>
      <c r="R974" t="s">
        <v>35</v>
      </c>
    </row>
    <row r="975" spans="1:18" x14ac:dyDescent="0.35">
      <c r="A975">
        <v>1003</v>
      </c>
      <c r="B975" s="1">
        <v>45057</v>
      </c>
      <c r="C975" s="1" t="str">
        <f>TEXT(Sales[[#This Row],[Sale_Date]],"YYYY")</f>
        <v>2023</v>
      </c>
      <c r="D975" s="1" t="str">
        <f>TEXT(Sales[[#This Row],[Sale_Date]],"MMMM")</f>
        <v>May</v>
      </c>
      <c r="E975" s="1" t="str">
        <f>TEXT(Sales[[#This Row],[Sale_Date]],"DDDD")</f>
        <v>Thursday</v>
      </c>
      <c r="F975" t="s">
        <v>32</v>
      </c>
      <c r="G975" t="s">
        <v>14</v>
      </c>
      <c r="H975" s="2">
        <v>6760.37</v>
      </c>
      <c r="I975">
        <v>26</v>
      </c>
      <c r="J975" t="s">
        <v>34</v>
      </c>
      <c r="K975" s="2">
        <v>3418.78</v>
      </c>
      <c r="L975" s="2">
        <v>3824.1</v>
      </c>
      <c r="M975" t="s">
        <v>29</v>
      </c>
      <c r="N975">
        <v>0.19</v>
      </c>
      <c r="O975" s="2">
        <f>(Sales[[#This Row],[Unit_Price]]-Sales[[#This Row],[Discount]]*Sales[[#This Row],[Unit_Price]])</f>
        <v>3097.5209999999997</v>
      </c>
      <c r="P975" t="s">
        <v>30</v>
      </c>
      <c r="Q975" t="s">
        <v>18</v>
      </c>
      <c r="R975" t="s">
        <v>52</v>
      </c>
    </row>
    <row r="976" spans="1:18" x14ac:dyDescent="0.35">
      <c r="A976">
        <v>1023</v>
      </c>
      <c r="B976" s="1">
        <v>45128</v>
      </c>
      <c r="C976" s="1" t="str">
        <f>TEXT(Sales[[#This Row],[Sale_Date]],"YYYY")</f>
        <v>2023</v>
      </c>
      <c r="D976" s="1" t="str">
        <f>TEXT(Sales[[#This Row],[Sale_Date]],"MMMM")</f>
        <v>July</v>
      </c>
      <c r="E976" s="1" t="str">
        <f>TEXT(Sales[[#This Row],[Sale_Date]],"DDDD")</f>
        <v>Friday</v>
      </c>
      <c r="F976" t="s">
        <v>37</v>
      </c>
      <c r="G976" t="s">
        <v>14</v>
      </c>
      <c r="H976" s="2">
        <v>2282.9899999999998</v>
      </c>
      <c r="I976">
        <v>4</v>
      </c>
      <c r="J976" t="s">
        <v>28</v>
      </c>
      <c r="K976" s="2">
        <v>1532.8</v>
      </c>
      <c r="L976" s="2">
        <v>1619.69</v>
      </c>
      <c r="M976" t="s">
        <v>16</v>
      </c>
      <c r="N976">
        <v>0.05</v>
      </c>
      <c r="O976" s="2">
        <f>(Sales[[#This Row],[Unit_Price]]-Sales[[#This Row],[Discount]]*Sales[[#This Row],[Unit_Price]])</f>
        <v>1538.7055</v>
      </c>
      <c r="P976" t="s">
        <v>26</v>
      </c>
      <c r="Q976" t="s">
        <v>21</v>
      </c>
      <c r="R976" t="s">
        <v>39</v>
      </c>
    </row>
    <row r="977" spans="1:18" x14ac:dyDescent="0.35">
      <c r="A977">
        <v>1018</v>
      </c>
      <c r="B977" s="1">
        <v>45169</v>
      </c>
      <c r="C977" s="1" t="str">
        <f>TEXT(Sales[[#This Row],[Sale_Date]],"YYYY")</f>
        <v>2023</v>
      </c>
      <c r="D977" s="1" t="str">
        <f>TEXT(Sales[[#This Row],[Sale_Date]],"MMMM")</f>
        <v>August</v>
      </c>
      <c r="E977" s="1" t="str">
        <f>TEXT(Sales[[#This Row],[Sale_Date]],"DDDD")</f>
        <v>Thursday</v>
      </c>
      <c r="F977" t="s">
        <v>41</v>
      </c>
      <c r="G977" t="s">
        <v>33</v>
      </c>
      <c r="H977" s="2">
        <v>2260.25</v>
      </c>
      <c r="I977">
        <v>1</v>
      </c>
      <c r="J977" t="s">
        <v>34</v>
      </c>
      <c r="K977" s="2">
        <v>2315.83</v>
      </c>
      <c r="L977" s="2">
        <v>2333.19</v>
      </c>
      <c r="M977" t="s">
        <v>29</v>
      </c>
      <c r="N977">
        <v>0.01</v>
      </c>
      <c r="O977" s="2">
        <f>(Sales[[#This Row],[Unit_Price]]-Sales[[#This Row],[Discount]]*Sales[[#This Row],[Unit_Price]])</f>
        <v>2309.8580999999999</v>
      </c>
      <c r="P977" t="s">
        <v>17</v>
      </c>
      <c r="Q977" t="s">
        <v>21</v>
      </c>
      <c r="R977" t="s">
        <v>51</v>
      </c>
    </row>
    <row r="978" spans="1:18" x14ac:dyDescent="0.35">
      <c r="A978">
        <v>1038</v>
      </c>
      <c r="B978" s="1">
        <v>44961</v>
      </c>
      <c r="C978" s="1" t="str">
        <f>TEXT(Sales[[#This Row],[Sale_Date]],"YYYY")</f>
        <v>2023</v>
      </c>
      <c r="D978" s="1" t="str">
        <f>TEXT(Sales[[#This Row],[Sale_Date]],"MMMM")</f>
        <v>February</v>
      </c>
      <c r="E978" s="1" t="str">
        <f>TEXT(Sales[[#This Row],[Sale_Date]],"DDDD")</f>
        <v>Saturday</v>
      </c>
      <c r="F978" t="s">
        <v>32</v>
      </c>
      <c r="G978" t="s">
        <v>14</v>
      </c>
      <c r="H978" s="2">
        <v>8753.31</v>
      </c>
      <c r="I978">
        <v>7</v>
      </c>
      <c r="J978" t="s">
        <v>15</v>
      </c>
      <c r="K978" s="2">
        <v>523.02</v>
      </c>
      <c r="L978" s="2">
        <v>686.25</v>
      </c>
      <c r="M978" t="s">
        <v>16</v>
      </c>
      <c r="N978">
        <v>0.04</v>
      </c>
      <c r="O978" s="2">
        <f>(Sales[[#This Row],[Unit_Price]]-Sales[[#This Row],[Discount]]*Sales[[#This Row],[Unit_Price]])</f>
        <v>658.8</v>
      </c>
      <c r="P978" t="s">
        <v>17</v>
      </c>
      <c r="Q978" t="s">
        <v>18</v>
      </c>
      <c r="R978" t="s">
        <v>52</v>
      </c>
    </row>
    <row r="979" spans="1:18" x14ac:dyDescent="0.35">
      <c r="A979">
        <v>1099</v>
      </c>
      <c r="B979" s="1">
        <v>45019</v>
      </c>
      <c r="C979" s="1" t="str">
        <f>TEXT(Sales[[#This Row],[Sale_Date]],"YYYY")</f>
        <v>2023</v>
      </c>
      <c r="D979" s="1" t="str">
        <f>TEXT(Sales[[#This Row],[Sale_Date]],"MMMM")</f>
        <v>April</v>
      </c>
      <c r="E979" s="1" t="str">
        <f>TEXT(Sales[[#This Row],[Sale_Date]],"DDDD")</f>
        <v>Monday</v>
      </c>
      <c r="F979" t="s">
        <v>41</v>
      </c>
      <c r="G979" t="s">
        <v>14</v>
      </c>
      <c r="H979" s="2">
        <v>2571.7199999999998</v>
      </c>
      <c r="I979">
        <v>30</v>
      </c>
      <c r="J979" t="s">
        <v>15</v>
      </c>
      <c r="K979" s="2">
        <v>4495.82</v>
      </c>
      <c r="L979" s="2">
        <v>4794.0099999999902</v>
      </c>
      <c r="M979" t="s">
        <v>29</v>
      </c>
      <c r="N979">
        <v>0.18</v>
      </c>
      <c r="O979" s="2">
        <f>(Sales[[#This Row],[Unit_Price]]-Sales[[#This Row],[Discount]]*Sales[[#This Row],[Unit_Price]])</f>
        <v>3931.088199999992</v>
      </c>
      <c r="P979" t="s">
        <v>26</v>
      </c>
      <c r="Q979" t="s">
        <v>21</v>
      </c>
      <c r="R979" t="s">
        <v>48</v>
      </c>
    </row>
    <row r="980" spans="1:18" x14ac:dyDescent="0.35">
      <c r="A980">
        <v>1015</v>
      </c>
      <c r="B980" s="1">
        <v>45133</v>
      </c>
      <c r="C980" s="1" t="str">
        <f>TEXT(Sales[[#This Row],[Sale_Date]],"YYYY")</f>
        <v>2023</v>
      </c>
      <c r="D980" s="1" t="str">
        <f>TEXT(Sales[[#This Row],[Sale_Date]],"MMMM")</f>
        <v>July</v>
      </c>
      <c r="E980" s="1" t="str">
        <f>TEXT(Sales[[#This Row],[Sale_Date]],"DDDD")</f>
        <v>Wednesday</v>
      </c>
      <c r="F980" t="s">
        <v>23</v>
      </c>
      <c r="G980" t="s">
        <v>14</v>
      </c>
      <c r="H980" s="2">
        <v>2706.15</v>
      </c>
      <c r="I980">
        <v>9</v>
      </c>
      <c r="J980" t="s">
        <v>34</v>
      </c>
      <c r="K980" s="2">
        <v>4680.3500000000004</v>
      </c>
      <c r="L980" s="2">
        <v>4758.1099999999997</v>
      </c>
      <c r="M980" t="s">
        <v>16</v>
      </c>
      <c r="N980">
        <v>0.05</v>
      </c>
      <c r="O980" s="2">
        <f>(Sales[[#This Row],[Unit_Price]]-Sales[[#This Row],[Discount]]*Sales[[#This Row],[Unit_Price]])</f>
        <v>4520.2044999999998</v>
      </c>
      <c r="P980" t="s">
        <v>26</v>
      </c>
      <c r="Q980" t="s">
        <v>18</v>
      </c>
      <c r="R980" t="s">
        <v>44</v>
      </c>
    </row>
    <row r="981" spans="1:18" x14ac:dyDescent="0.35">
      <c r="A981">
        <v>1064</v>
      </c>
      <c r="B981" s="1">
        <v>45279</v>
      </c>
      <c r="C981" s="1" t="str">
        <f>TEXT(Sales[[#This Row],[Sale_Date]],"YYYY")</f>
        <v>2023</v>
      </c>
      <c r="D981" s="1" t="str">
        <f>TEXT(Sales[[#This Row],[Sale_Date]],"MMMM")</f>
        <v>December</v>
      </c>
      <c r="E981" s="1" t="str">
        <f>TEXT(Sales[[#This Row],[Sale_Date]],"DDDD")</f>
        <v>Tuesday</v>
      </c>
      <c r="F981" t="s">
        <v>41</v>
      </c>
      <c r="G981" t="s">
        <v>20</v>
      </c>
      <c r="H981" s="2">
        <v>106.47</v>
      </c>
      <c r="I981">
        <v>35</v>
      </c>
      <c r="J981" t="s">
        <v>28</v>
      </c>
      <c r="K981" s="2">
        <v>4900.03</v>
      </c>
      <c r="L981" s="2">
        <v>5118.83</v>
      </c>
      <c r="M981" t="s">
        <v>16</v>
      </c>
      <c r="N981">
        <v>7.0000000000000007E-2</v>
      </c>
      <c r="O981" s="2">
        <f>(Sales[[#This Row],[Unit_Price]]-Sales[[#This Row],[Discount]]*Sales[[#This Row],[Unit_Price]])</f>
        <v>4760.5118999999995</v>
      </c>
      <c r="P981" t="s">
        <v>30</v>
      </c>
      <c r="Q981" t="s">
        <v>21</v>
      </c>
      <c r="R981" t="s">
        <v>50</v>
      </c>
    </row>
    <row r="982" spans="1:18" x14ac:dyDescent="0.35">
      <c r="A982">
        <v>1089</v>
      </c>
      <c r="B982" s="1">
        <v>45258</v>
      </c>
      <c r="C982" s="1" t="str">
        <f>TEXT(Sales[[#This Row],[Sale_Date]],"YYYY")</f>
        <v>2023</v>
      </c>
      <c r="D982" s="1" t="str">
        <f>TEXT(Sales[[#This Row],[Sale_Date]],"MMMM")</f>
        <v>November</v>
      </c>
      <c r="E982" s="1" t="str">
        <f>TEXT(Sales[[#This Row],[Sale_Date]],"DDDD")</f>
        <v>Tuesday</v>
      </c>
      <c r="F982" t="s">
        <v>23</v>
      </c>
      <c r="G982" t="s">
        <v>20</v>
      </c>
      <c r="H982" s="2">
        <v>8719.6200000000008</v>
      </c>
      <c r="I982">
        <v>8</v>
      </c>
      <c r="J982" t="s">
        <v>15</v>
      </c>
      <c r="K982" s="2">
        <v>4349.34</v>
      </c>
      <c r="L982" s="2">
        <v>4629.9799999999996</v>
      </c>
      <c r="M982" t="s">
        <v>16</v>
      </c>
      <c r="N982">
        <v>0.01</v>
      </c>
      <c r="O982" s="2">
        <f>(Sales[[#This Row],[Unit_Price]]-Sales[[#This Row],[Discount]]*Sales[[#This Row],[Unit_Price]])</f>
        <v>4583.6801999999998</v>
      </c>
      <c r="P982" t="s">
        <v>30</v>
      </c>
      <c r="Q982" t="s">
        <v>18</v>
      </c>
      <c r="R982" t="s">
        <v>46</v>
      </c>
    </row>
    <row r="983" spans="1:18" x14ac:dyDescent="0.35">
      <c r="A983">
        <v>1028</v>
      </c>
      <c r="B983" s="1">
        <v>45231</v>
      </c>
      <c r="C983" s="1" t="str">
        <f>TEXT(Sales[[#This Row],[Sale_Date]],"YYYY")</f>
        <v>2023</v>
      </c>
      <c r="D983" s="1" t="str">
        <f>TEXT(Sales[[#This Row],[Sale_Date]],"MMMM")</f>
        <v>November</v>
      </c>
      <c r="E983" s="1" t="str">
        <f>TEXT(Sales[[#This Row],[Sale_Date]],"DDDD")</f>
        <v>Wednesday</v>
      </c>
      <c r="F983" t="s">
        <v>13</v>
      </c>
      <c r="G983" t="s">
        <v>33</v>
      </c>
      <c r="H983" s="2">
        <v>7946.69</v>
      </c>
      <c r="I983">
        <v>24</v>
      </c>
      <c r="J983" t="s">
        <v>25</v>
      </c>
      <c r="K983" s="2">
        <v>911.11</v>
      </c>
      <c r="L983" s="2">
        <v>1214.56</v>
      </c>
      <c r="M983" t="s">
        <v>29</v>
      </c>
      <c r="N983">
        <v>0.22</v>
      </c>
      <c r="O983" s="2">
        <f>(Sales[[#This Row],[Unit_Price]]-Sales[[#This Row],[Discount]]*Sales[[#This Row],[Unit_Price]])</f>
        <v>947.35680000000002</v>
      </c>
      <c r="P983" t="s">
        <v>26</v>
      </c>
      <c r="Q983" t="s">
        <v>18</v>
      </c>
      <c r="R983" t="s">
        <v>45</v>
      </c>
    </row>
    <row r="984" spans="1:18" x14ac:dyDescent="0.35">
      <c r="A984">
        <v>1074</v>
      </c>
      <c r="B984" s="1">
        <v>45276</v>
      </c>
      <c r="C984" s="1" t="str">
        <f>TEXT(Sales[[#This Row],[Sale_Date]],"YYYY")</f>
        <v>2023</v>
      </c>
      <c r="D984" s="1" t="str">
        <f>TEXT(Sales[[#This Row],[Sale_Date]],"MMMM")</f>
        <v>December</v>
      </c>
      <c r="E984" s="1" t="str">
        <f>TEXT(Sales[[#This Row],[Sale_Date]],"DDDD")</f>
        <v>Saturday</v>
      </c>
      <c r="F984" t="s">
        <v>13</v>
      </c>
      <c r="G984" t="s">
        <v>14</v>
      </c>
      <c r="H984" s="2">
        <v>6310.56</v>
      </c>
      <c r="I984">
        <v>19</v>
      </c>
      <c r="J984" t="s">
        <v>15</v>
      </c>
      <c r="K984" s="2">
        <v>278.67</v>
      </c>
      <c r="L984" s="2">
        <v>423.13</v>
      </c>
      <c r="M984" t="s">
        <v>29</v>
      </c>
      <c r="N984">
        <v>0.24</v>
      </c>
      <c r="O984" s="2">
        <f>(Sales[[#This Row],[Unit_Price]]-Sales[[#This Row],[Discount]]*Sales[[#This Row],[Unit_Price]])</f>
        <v>321.5788</v>
      </c>
      <c r="P984" t="s">
        <v>30</v>
      </c>
      <c r="Q984" t="s">
        <v>18</v>
      </c>
      <c r="R984" t="s">
        <v>19</v>
      </c>
    </row>
    <row r="985" spans="1:18" x14ac:dyDescent="0.35">
      <c r="A985">
        <v>1039</v>
      </c>
      <c r="B985" s="1">
        <v>45139</v>
      </c>
      <c r="C985" s="1" t="str">
        <f>TEXT(Sales[[#This Row],[Sale_Date]],"YYYY")</f>
        <v>2023</v>
      </c>
      <c r="D985" s="1" t="str">
        <f>TEXT(Sales[[#This Row],[Sale_Date]],"MMMM")</f>
        <v>August</v>
      </c>
      <c r="E985" s="1" t="str">
        <f>TEXT(Sales[[#This Row],[Sale_Date]],"DDDD")</f>
        <v>Tuesday</v>
      </c>
      <c r="F985" t="s">
        <v>37</v>
      </c>
      <c r="G985" t="s">
        <v>20</v>
      </c>
      <c r="H985" s="2">
        <v>7527.63</v>
      </c>
      <c r="I985">
        <v>36</v>
      </c>
      <c r="J985" t="s">
        <v>28</v>
      </c>
      <c r="K985" s="2">
        <v>2919</v>
      </c>
      <c r="L985" s="2">
        <v>3125.01</v>
      </c>
      <c r="M985" t="s">
        <v>29</v>
      </c>
      <c r="N985">
        <v>0.24</v>
      </c>
      <c r="O985" s="2">
        <f>(Sales[[#This Row],[Unit_Price]]-Sales[[#This Row],[Discount]]*Sales[[#This Row],[Unit_Price]])</f>
        <v>2375.0075999999999</v>
      </c>
      <c r="P985" t="s">
        <v>17</v>
      </c>
      <c r="Q985" t="s">
        <v>18</v>
      </c>
      <c r="R985" t="s">
        <v>40</v>
      </c>
    </row>
    <row r="986" spans="1:18" x14ac:dyDescent="0.35">
      <c r="A986">
        <v>1057</v>
      </c>
      <c r="B986" s="1">
        <v>45085</v>
      </c>
      <c r="C986" s="1" t="str">
        <f>TEXT(Sales[[#This Row],[Sale_Date]],"YYYY")</f>
        <v>2023</v>
      </c>
      <c r="D986" s="1" t="str">
        <f>TEXT(Sales[[#This Row],[Sale_Date]],"MMMM")</f>
        <v>June</v>
      </c>
      <c r="E986" s="1" t="str">
        <f>TEXT(Sales[[#This Row],[Sale_Date]],"DDDD")</f>
        <v>Thursday</v>
      </c>
      <c r="F986" t="s">
        <v>32</v>
      </c>
      <c r="G986" t="s">
        <v>33</v>
      </c>
      <c r="H986" s="2">
        <v>1605.28</v>
      </c>
      <c r="I986">
        <v>43</v>
      </c>
      <c r="J986" t="s">
        <v>15</v>
      </c>
      <c r="K986" s="2">
        <v>4567.3900000000003</v>
      </c>
      <c r="L986" s="2">
        <v>4958.78</v>
      </c>
      <c r="M986" t="s">
        <v>29</v>
      </c>
      <c r="N986">
        <v>0.04</v>
      </c>
      <c r="O986" s="2">
        <f>(Sales[[#This Row],[Unit_Price]]-Sales[[#This Row],[Discount]]*Sales[[#This Row],[Unit_Price]])</f>
        <v>4760.4287999999997</v>
      </c>
      <c r="P986" t="s">
        <v>17</v>
      </c>
      <c r="Q986" t="s">
        <v>21</v>
      </c>
      <c r="R986" t="s">
        <v>35</v>
      </c>
    </row>
    <row r="987" spans="1:18" x14ac:dyDescent="0.35">
      <c r="A987">
        <v>1017</v>
      </c>
      <c r="B987" s="1">
        <v>44950</v>
      </c>
      <c r="C987" s="1" t="str">
        <f>TEXT(Sales[[#This Row],[Sale_Date]],"YYYY")</f>
        <v>2023</v>
      </c>
      <c r="D987" s="1" t="str">
        <f>TEXT(Sales[[#This Row],[Sale_Date]],"MMMM")</f>
        <v>January</v>
      </c>
      <c r="E987" s="1" t="str">
        <f>TEXT(Sales[[#This Row],[Sale_Date]],"DDDD")</f>
        <v>Tuesday</v>
      </c>
      <c r="F987" t="s">
        <v>37</v>
      </c>
      <c r="G987" t="s">
        <v>14</v>
      </c>
      <c r="H987" s="2">
        <v>4637.3999999999996</v>
      </c>
      <c r="I987">
        <v>27</v>
      </c>
      <c r="J987" t="s">
        <v>34</v>
      </c>
      <c r="K987" s="2">
        <v>927.89</v>
      </c>
      <c r="L987" s="2">
        <v>1399.09</v>
      </c>
      <c r="M987" t="s">
        <v>16</v>
      </c>
      <c r="N987">
        <v>0.27</v>
      </c>
      <c r="O987" s="2">
        <f>(Sales[[#This Row],[Unit_Price]]-Sales[[#This Row],[Discount]]*Sales[[#This Row],[Unit_Price]])</f>
        <v>1021.3356999999999</v>
      </c>
      <c r="P987" t="s">
        <v>30</v>
      </c>
      <c r="Q987" t="s">
        <v>18</v>
      </c>
      <c r="R987" t="s">
        <v>39</v>
      </c>
    </row>
    <row r="988" spans="1:18" x14ac:dyDescent="0.35">
      <c r="A988">
        <v>1086</v>
      </c>
      <c r="B988" s="1">
        <v>45219</v>
      </c>
      <c r="C988" s="1" t="str">
        <f>TEXT(Sales[[#This Row],[Sale_Date]],"YYYY")</f>
        <v>2023</v>
      </c>
      <c r="D988" s="1" t="str">
        <f>TEXT(Sales[[#This Row],[Sale_Date]],"MMMM")</f>
        <v>October</v>
      </c>
      <c r="E988" s="1" t="str">
        <f>TEXT(Sales[[#This Row],[Sale_Date]],"DDDD")</f>
        <v>Friday</v>
      </c>
      <c r="F988" t="s">
        <v>23</v>
      </c>
      <c r="G988" t="s">
        <v>24</v>
      </c>
      <c r="H988" s="2">
        <v>3577.07</v>
      </c>
      <c r="I988">
        <v>32</v>
      </c>
      <c r="J988" t="s">
        <v>15</v>
      </c>
      <c r="K988" s="2">
        <v>84.86</v>
      </c>
      <c r="L988" s="2">
        <v>517.17999999999995</v>
      </c>
      <c r="M988" t="s">
        <v>16</v>
      </c>
      <c r="N988">
        <v>0.2</v>
      </c>
      <c r="O988" s="2">
        <f>(Sales[[#This Row],[Unit_Price]]-Sales[[#This Row],[Discount]]*Sales[[#This Row],[Unit_Price]])</f>
        <v>413.74399999999997</v>
      </c>
      <c r="P988" t="s">
        <v>30</v>
      </c>
      <c r="Q988" t="s">
        <v>21</v>
      </c>
      <c r="R988" t="s">
        <v>27</v>
      </c>
    </row>
    <row r="989" spans="1:18" x14ac:dyDescent="0.35">
      <c r="A989">
        <v>1090</v>
      </c>
      <c r="B989" s="1">
        <v>44930</v>
      </c>
      <c r="C989" s="1" t="str">
        <f>TEXT(Sales[[#This Row],[Sale_Date]],"YYYY")</f>
        <v>2023</v>
      </c>
      <c r="D989" s="1" t="str">
        <f>TEXT(Sales[[#This Row],[Sale_Date]],"MMMM")</f>
        <v>January</v>
      </c>
      <c r="E989" s="1" t="str">
        <f>TEXT(Sales[[#This Row],[Sale_Date]],"DDDD")</f>
        <v>Wednesday</v>
      </c>
      <c r="F989" t="s">
        <v>37</v>
      </c>
      <c r="G989" t="s">
        <v>14</v>
      </c>
      <c r="H989" s="2">
        <v>1028.3900000000001</v>
      </c>
      <c r="I989">
        <v>14</v>
      </c>
      <c r="J989" t="s">
        <v>15</v>
      </c>
      <c r="K989" s="2">
        <v>4037.21</v>
      </c>
      <c r="L989" s="2">
        <v>4323.71</v>
      </c>
      <c r="M989" t="s">
        <v>16</v>
      </c>
      <c r="N989">
        <v>0.27</v>
      </c>
      <c r="O989" s="2">
        <f>(Sales[[#This Row],[Unit_Price]]-Sales[[#This Row],[Discount]]*Sales[[#This Row],[Unit_Price]])</f>
        <v>3156.3082999999997</v>
      </c>
      <c r="P989" t="s">
        <v>30</v>
      </c>
      <c r="Q989" t="s">
        <v>18</v>
      </c>
      <c r="R989" t="s">
        <v>39</v>
      </c>
    </row>
    <row r="990" spans="1:18" x14ac:dyDescent="0.35">
      <c r="A990">
        <v>1044</v>
      </c>
      <c r="B990" s="1">
        <v>45146</v>
      </c>
      <c r="C990" s="1" t="str">
        <f>TEXT(Sales[[#This Row],[Sale_Date]],"YYYY")</f>
        <v>2023</v>
      </c>
      <c r="D990" s="1" t="str">
        <f>TEXT(Sales[[#This Row],[Sale_Date]],"MMMM")</f>
        <v>August</v>
      </c>
      <c r="E990" s="1" t="str">
        <f>TEXT(Sales[[#This Row],[Sale_Date]],"DDDD")</f>
        <v>Tuesday</v>
      </c>
      <c r="F990" t="s">
        <v>41</v>
      </c>
      <c r="G990" t="s">
        <v>14</v>
      </c>
      <c r="H990" s="2">
        <v>4912.6899999999996</v>
      </c>
      <c r="I990">
        <v>18</v>
      </c>
      <c r="J990" t="s">
        <v>28</v>
      </c>
      <c r="K990" s="2">
        <v>430.14</v>
      </c>
      <c r="L990" s="2">
        <v>641.17999999999995</v>
      </c>
      <c r="M990" t="s">
        <v>29</v>
      </c>
      <c r="N990">
        <v>0.13</v>
      </c>
      <c r="O990" s="2">
        <f>(Sales[[#This Row],[Unit_Price]]-Sales[[#This Row],[Discount]]*Sales[[#This Row],[Unit_Price]])</f>
        <v>557.82659999999998</v>
      </c>
      <c r="P990" t="s">
        <v>17</v>
      </c>
      <c r="Q990" t="s">
        <v>18</v>
      </c>
      <c r="R990" t="s">
        <v>48</v>
      </c>
    </row>
    <row r="991" spans="1:18" x14ac:dyDescent="0.35">
      <c r="A991">
        <v>1025</v>
      </c>
      <c r="B991" s="1">
        <v>45290</v>
      </c>
      <c r="C991" s="1" t="str">
        <f>TEXT(Sales[[#This Row],[Sale_Date]],"YYYY")</f>
        <v>2023</v>
      </c>
      <c r="D991" s="1" t="str">
        <f>TEXT(Sales[[#This Row],[Sale_Date]],"MMMM")</f>
        <v>December</v>
      </c>
      <c r="E991" s="1" t="str">
        <f>TEXT(Sales[[#This Row],[Sale_Date]],"DDDD")</f>
        <v>Saturday</v>
      </c>
      <c r="F991" t="s">
        <v>23</v>
      </c>
      <c r="G991" t="s">
        <v>20</v>
      </c>
      <c r="H991" s="2">
        <v>9215.32</v>
      </c>
      <c r="I991">
        <v>28</v>
      </c>
      <c r="J991" t="s">
        <v>34</v>
      </c>
      <c r="K991" s="2">
        <v>2097.84</v>
      </c>
      <c r="L991" s="2">
        <v>2270.9899999999998</v>
      </c>
      <c r="M991" t="s">
        <v>29</v>
      </c>
      <c r="N991">
        <v>0.13</v>
      </c>
      <c r="O991" s="2">
        <f>(Sales[[#This Row],[Unit_Price]]-Sales[[#This Row],[Discount]]*Sales[[#This Row],[Unit_Price]])</f>
        <v>1975.7612999999997</v>
      </c>
      <c r="P991" t="s">
        <v>30</v>
      </c>
      <c r="Q991" t="s">
        <v>21</v>
      </c>
      <c r="R991" t="s">
        <v>46</v>
      </c>
    </row>
    <row r="992" spans="1:18" x14ac:dyDescent="0.35">
      <c r="A992">
        <v>1017</v>
      </c>
      <c r="B992" s="1">
        <v>44946</v>
      </c>
      <c r="C992" s="1" t="str">
        <f>TEXT(Sales[[#This Row],[Sale_Date]],"YYYY")</f>
        <v>2023</v>
      </c>
      <c r="D992" s="1" t="str">
        <f>TEXT(Sales[[#This Row],[Sale_Date]],"MMMM")</f>
        <v>January</v>
      </c>
      <c r="E992" s="1" t="str">
        <f>TEXT(Sales[[#This Row],[Sale_Date]],"DDDD")</f>
        <v>Friday</v>
      </c>
      <c r="F992" t="s">
        <v>13</v>
      </c>
      <c r="G992" t="s">
        <v>33</v>
      </c>
      <c r="H992" s="2">
        <v>496.59</v>
      </c>
      <c r="I992">
        <v>29</v>
      </c>
      <c r="J992" t="s">
        <v>28</v>
      </c>
      <c r="K992" s="2">
        <v>3410.49</v>
      </c>
      <c r="L992" s="2">
        <v>3481.72</v>
      </c>
      <c r="M992" t="s">
        <v>29</v>
      </c>
      <c r="N992">
        <v>0.24</v>
      </c>
      <c r="O992" s="2">
        <f>(Sales[[#This Row],[Unit_Price]]-Sales[[#This Row],[Discount]]*Sales[[#This Row],[Unit_Price]])</f>
        <v>2646.1071999999999</v>
      </c>
      <c r="P992" t="s">
        <v>26</v>
      </c>
      <c r="Q992" t="s">
        <v>21</v>
      </c>
      <c r="R992" t="s">
        <v>45</v>
      </c>
    </row>
    <row r="993" spans="1:18" x14ac:dyDescent="0.35">
      <c r="A993">
        <v>1013</v>
      </c>
      <c r="B993" s="1">
        <v>45078</v>
      </c>
      <c r="C993" s="1" t="str">
        <f>TEXT(Sales[[#This Row],[Sale_Date]],"YYYY")</f>
        <v>2023</v>
      </c>
      <c r="D993" s="1" t="str">
        <f>TEXT(Sales[[#This Row],[Sale_Date]],"MMMM")</f>
        <v>June</v>
      </c>
      <c r="E993" s="1" t="str">
        <f>TEXT(Sales[[#This Row],[Sale_Date]],"DDDD")</f>
        <v>Thursday</v>
      </c>
      <c r="F993" t="s">
        <v>32</v>
      </c>
      <c r="G993" t="s">
        <v>33</v>
      </c>
      <c r="H993" s="2">
        <v>2985.46</v>
      </c>
      <c r="I993">
        <v>16</v>
      </c>
      <c r="J993" t="s">
        <v>15</v>
      </c>
      <c r="K993" s="2">
        <v>1222.1500000000001</v>
      </c>
      <c r="L993" s="2">
        <v>1284.3599999999999</v>
      </c>
      <c r="M993" t="s">
        <v>16</v>
      </c>
      <c r="N993">
        <v>0.03</v>
      </c>
      <c r="O993" s="2">
        <f>(Sales[[#This Row],[Unit_Price]]-Sales[[#This Row],[Discount]]*Sales[[#This Row],[Unit_Price]])</f>
        <v>1245.8291999999999</v>
      </c>
      <c r="P993" t="s">
        <v>30</v>
      </c>
      <c r="Q993" t="s">
        <v>21</v>
      </c>
      <c r="R993" t="s">
        <v>35</v>
      </c>
    </row>
    <row r="994" spans="1:18" x14ac:dyDescent="0.35">
      <c r="A994">
        <v>1084</v>
      </c>
      <c r="B994" s="1">
        <v>44976</v>
      </c>
      <c r="C994" s="1" t="str">
        <f>TEXT(Sales[[#This Row],[Sale_Date]],"YYYY")</f>
        <v>2023</v>
      </c>
      <c r="D994" s="1" t="str">
        <f>TEXT(Sales[[#This Row],[Sale_Date]],"MMMM")</f>
        <v>February</v>
      </c>
      <c r="E994" s="1" t="str">
        <f>TEXT(Sales[[#This Row],[Sale_Date]],"DDDD")</f>
        <v>Sunday</v>
      </c>
      <c r="F994" t="s">
        <v>23</v>
      </c>
      <c r="G994" t="s">
        <v>20</v>
      </c>
      <c r="H994" s="2">
        <v>2154.66</v>
      </c>
      <c r="I994">
        <v>35</v>
      </c>
      <c r="J994" t="s">
        <v>25</v>
      </c>
      <c r="K994" s="2">
        <v>465.61</v>
      </c>
      <c r="L994" s="2">
        <v>812.91</v>
      </c>
      <c r="M994" t="s">
        <v>29</v>
      </c>
      <c r="N994">
        <v>0.16</v>
      </c>
      <c r="O994" s="2">
        <f>(Sales[[#This Row],[Unit_Price]]-Sales[[#This Row],[Discount]]*Sales[[#This Row],[Unit_Price]])</f>
        <v>682.84439999999995</v>
      </c>
      <c r="P994" t="s">
        <v>26</v>
      </c>
      <c r="Q994" t="s">
        <v>18</v>
      </c>
      <c r="R994" t="s">
        <v>46</v>
      </c>
    </row>
    <row r="995" spans="1:18" x14ac:dyDescent="0.35">
      <c r="A995">
        <v>1025</v>
      </c>
      <c r="B995" s="1">
        <v>45103</v>
      </c>
      <c r="C995" s="1" t="str">
        <f>TEXT(Sales[[#This Row],[Sale_Date]],"YYYY")</f>
        <v>2023</v>
      </c>
      <c r="D995" s="1" t="str">
        <f>TEXT(Sales[[#This Row],[Sale_Date]],"MMMM")</f>
        <v>June</v>
      </c>
      <c r="E995" s="1" t="str">
        <f>TEXT(Sales[[#This Row],[Sale_Date]],"DDDD")</f>
        <v>Monday</v>
      </c>
      <c r="F995" t="s">
        <v>23</v>
      </c>
      <c r="G995" t="s">
        <v>14</v>
      </c>
      <c r="H995" s="2">
        <v>2457.65</v>
      </c>
      <c r="I995">
        <v>47</v>
      </c>
      <c r="J995" t="s">
        <v>15</v>
      </c>
      <c r="K995" s="2">
        <v>3861.61</v>
      </c>
      <c r="L995" s="2">
        <v>3998.91</v>
      </c>
      <c r="M995" t="s">
        <v>29</v>
      </c>
      <c r="N995">
        <v>0.25</v>
      </c>
      <c r="O995" s="2">
        <f>(Sales[[#This Row],[Unit_Price]]-Sales[[#This Row],[Discount]]*Sales[[#This Row],[Unit_Price]])</f>
        <v>2999.1824999999999</v>
      </c>
      <c r="P995" t="s">
        <v>30</v>
      </c>
      <c r="Q995" t="s">
        <v>18</v>
      </c>
      <c r="R995" t="s">
        <v>44</v>
      </c>
    </row>
    <row r="996" spans="1:18" x14ac:dyDescent="0.35">
      <c r="A996">
        <v>1068</v>
      </c>
      <c r="B996" s="1">
        <v>45022</v>
      </c>
      <c r="C996" s="1" t="str">
        <f>TEXT(Sales[[#This Row],[Sale_Date]],"YYYY")</f>
        <v>2023</v>
      </c>
      <c r="D996" s="1" t="str">
        <f>TEXT(Sales[[#This Row],[Sale_Date]],"MMMM")</f>
        <v>April</v>
      </c>
      <c r="E996" s="1" t="str">
        <f>TEXT(Sales[[#This Row],[Sale_Date]],"DDDD")</f>
        <v>Thursday</v>
      </c>
      <c r="F996" t="s">
        <v>41</v>
      </c>
      <c r="G996" t="s">
        <v>24</v>
      </c>
      <c r="H996" s="2">
        <v>9093.5</v>
      </c>
      <c r="I996">
        <v>31</v>
      </c>
      <c r="J996" t="s">
        <v>28</v>
      </c>
      <c r="K996" s="2">
        <v>3169.37</v>
      </c>
      <c r="L996" s="2">
        <v>3304.15</v>
      </c>
      <c r="M996" t="s">
        <v>16</v>
      </c>
      <c r="N996">
        <v>0.25</v>
      </c>
      <c r="O996" s="2">
        <f>(Sales[[#This Row],[Unit_Price]]-Sales[[#This Row],[Discount]]*Sales[[#This Row],[Unit_Price]])</f>
        <v>2478.1125000000002</v>
      </c>
      <c r="P996" t="s">
        <v>30</v>
      </c>
      <c r="Q996" t="s">
        <v>21</v>
      </c>
      <c r="R996" t="s">
        <v>42</v>
      </c>
    </row>
    <row r="997" spans="1:18" x14ac:dyDescent="0.35">
      <c r="A997">
        <v>1010</v>
      </c>
      <c r="B997" s="1">
        <v>45031</v>
      </c>
      <c r="C997" s="1" t="str">
        <f>TEXT(Sales[[#This Row],[Sale_Date]],"YYYY")</f>
        <v>2023</v>
      </c>
      <c r="D997" s="1" t="str">
        <f>TEXT(Sales[[#This Row],[Sale_Date]],"MMMM")</f>
        <v>April</v>
      </c>
      <c r="E997" s="1" t="str">
        <f>TEXT(Sales[[#This Row],[Sale_Date]],"DDDD")</f>
        <v>Saturday</v>
      </c>
      <c r="F997" t="s">
        <v>32</v>
      </c>
      <c r="G997" t="s">
        <v>14</v>
      </c>
      <c r="H997" s="2">
        <v>4733.88</v>
      </c>
      <c r="I997">
        <v>4</v>
      </c>
      <c r="J997" t="s">
        <v>25</v>
      </c>
      <c r="K997" s="2">
        <v>4943.03</v>
      </c>
      <c r="L997" s="2">
        <v>5442.15</v>
      </c>
      <c r="M997" t="s">
        <v>16</v>
      </c>
      <c r="N997">
        <v>0.28999999999999998</v>
      </c>
      <c r="O997" s="2">
        <f>(Sales[[#This Row],[Unit_Price]]-Sales[[#This Row],[Discount]]*Sales[[#This Row],[Unit_Price]])</f>
        <v>3863.9264999999996</v>
      </c>
      <c r="P997" t="s">
        <v>17</v>
      </c>
      <c r="Q997" t="s">
        <v>18</v>
      </c>
      <c r="R997" t="s">
        <v>52</v>
      </c>
    </row>
    <row r="998" spans="1:18" x14ac:dyDescent="0.35">
      <c r="A998">
        <v>1067</v>
      </c>
      <c r="B998" s="1">
        <v>45176</v>
      </c>
      <c r="C998" s="1" t="str">
        <f>TEXT(Sales[[#This Row],[Sale_Date]],"YYYY")</f>
        <v>2023</v>
      </c>
      <c r="D998" s="1" t="str">
        <f>TEXT(Sales[[#This Row],[Sale_Date]],"MMMM")</f>
        <v>September</v>
      </c>
      <c r="E998" s="1" t="str">
        <f>TEXT(Sales[[#This Row],[Sale_Date]],"DDDD")</f>
        <v>Thursday</v>
      </c>
      <c r="F998" t="s">
        <v>13</v>
      </c>
      <c r="G998" t="s">
        <v>14</v>
      </c>
      <c r="H998" s="2">
        <v>4716.3599999999997</v>
      </c>
      <c r="I998">
        <v>37</v>
      </c>
      <c r="J998" t="s">
        <v>28</v>
      </c>
      <c r="K998" s="2">
        <v>1754.32</v>
      </c>
      <c r="L998" s="2">
        <v>1856.3999999999901</v>
      </c>
      <c r="M998" t="s">
        <v>29</v>
      </c>
      <c r="N998">
        <v>0.21</v>
      </c>
      <c r="O998" s="2">
        <f>(Sales[[#This Row],[Unit_Price]]-Sales[[#This Row],[Discount]]*Sales[[#This Row],[Unit_Price]])</f>
        <v>1466.5559999999923</v>
      </c>
      <c r="P998" t="s">
        <v>26</v>
      </c>
      <c r="Q998" t="s">
        <v>21</v>
      </c>
      <c r="R998" t="s">
        <v>19</v>
      </c>
    </row>
    <row r="999" spans="1:18" x14ac:dyDescent="0.35">
      <c r="A999">
        <v>1018</v>
      </c>
      <c r="B999" s="1">
        <v>45043</v>
      </c>
      <c r="C999" s="1" t="str">
        <f>TEXT(Sales[[#This Row],[Sale_Date]],"YYYY")</f>
        <v>2023</v>
      </c>
      <c r="D999" s="1" t="str">
        <f>TEXT(Sales[[#This Row],[Sale_Date]],"MMMM")</f>
        <v>April</v>
      </c>
      <c r="E999" s="1" t="str">
        <f>TEXT(Sales[[#This Row],[Sale_Date]],"DDDD")</f>
        <v>Thursday</v>
      </c>
      <c r="F999" t="s">
        <v>23</v>
      </c>
      <c r="G999" t="s">
        <v>24</v>
      </c>
      <c r="H999" s="2">
        <v>7629.7</v>
      </c>
      <c r="I999">
        <v>17</v>
      </c>
      <c r="J999" t="s">
        <v>28</v>
      </c>
      <c r="K999" s="2">
        <v>355.72</v>
      </c>
      <c r="L999" s="2">
        <v>438.27</v>
      </c>
      <c r="M999" t="s">
        <v>16</v>
      </c>
      <c r="N999">
        <v>0.06</v>
      </c>
      <c r="O999" s="2">
        <f>(Sales[[#This Row],[Unit_Price]]-Sales[[#This Row],[Discount]]*Sales[[#This Row],[Unit_Price]])</f>
        <v>411.97379999999998</v>
      </c>
      <c r="P999" t="s">
        <v>26</v>
      </c>
      <c r="Q999" t="s">
        <v>18</v>
      </c>
      <c r="R999" t="s">
        <v>27</v>
      </c>
    </row>
    <row r="1000" spans="1:18" x14ac:dyDescent="0.35">
      <c r="A1000">
        <v>1100</v>
      </c>
      <c r="B1000" s="1">
        <v>45280</v>
      </c>
      <c r="C1000" s="1" t="str">
        <f>TEXT(Sales[[#This Row],[Sale_Date]],"YYYY")</f>
        <v>2023</v>
      </c>
      <c r="D1000" s="1" t="str">
        <f>TEXT(Sales[[#This Row],[Sale_Date]],"MMMM")</f>
        <v>December</v>
      </c>
      <c r="E1000" s="1" t="str">
        <f>TEXT(Sales[[#This Row],[Sale_Date]],"DDDD")</f>
        <v>Wednesday</v>
      </c>
      <c r="F1000" t="s">
        <v>23</v>
      </c>
      <c r="G1000" t="s">
        <v>20</v>
      </c>
      <c r="H1000" s="2">
        <v>1629.47</v>
      </c>
      <c r="I1000">
        <v>39</v>
      </c>
      <c r="J1000" t="s">
        <v>34</v>
      </c>
      <c r="K1000" s="2">
        <v>3685.03</v>
      </c>
      <c r="L1000" s="2">
        <v>3743.39</v>
      </c>
      <c r="M1000" t="s">
        <v>29</v>
      </c>
      <c r="N1000">
        <v>0.01</v>
      </c>
      <c r="O1000" s="2">
        <f>(Sales[[#This Row],[Unit_Price]]-Sales[[#This Row],[Discount]]*Sales[[#This Row],[Unit_Price]])</f>
        <v>3705.9560999999999</v>
      </c>
      <c r="P1000" t="s">
        <v>26</v>
      </c>
      <c r="Q1000" t="s">
        <v>18</v>
      </c>
      <c r="R1000" t="s">
        <v>46</v>
      </c>
    </row>
    <row r="1001" spans="1:18" x14ac:dyDescent="0.35">
      <c r="A1001">
        <v>1086</v>
      </c>
      <c r="B1001" s="1">
        <v>45154</v>
      </c>
      <c r="C1001" s="1" t="str">
        <f>TEXT(Sales[[#This Row],[Sale_Date]],"YYYY")</f>
        <v>2023</v>
      </c>
      <c r="D1001" s="1" t="str">
        <f>TEXT(Sales[[#This Row],[Sale_Date]],"MMMM")</f>
        <v>August</v>
      </c>
      <c r="E1001" s="1" t="str">
        <f>TEXT(Sales[[#This Row],[Sale_Date]],"DDDD")</f>
        <v>Wednesday</v>
      </c>
      <c r="F1001" t="s">
        <v>41</v>
      </c>
      <c r="G1001" t="s">
        <v>33</v>
      </c>
      <c r="H1001" s="2">
        <v>4923.93</v>
      </c>
      <c r="I1001">
        <v>48</v>
      </c>
      <c r="J1001" t="s">
        <v>25</v>
      </c>
      <c r="K1001" s="2">
        <v>2632.58</v>
      </c>
      <c r="L1001" s="2">
        <v>2926.68</v>
      </c>
      <c r="M1001" t="s">
        <v>16</v>
      </c>
      <c r="N1001">
        <v>0.14000000000000001</v>
      </c>
      <c r="O1001" s="2">
        <f>(Sales[[#This Row],[Unit_Price]]-Sales[[#This Row],[Discount]]*Sales[[#This Row],[Unit_Price]])</f>
        <v>2516.9447999999998</v>
      </c>
      <c r="P1001" t="s">
        <v>17</v>
      </c>
      <c r="Q1001" t="s">
        <v>18</v>
      </c>
      <c r="R1001" t="s">
        <v>51</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E0996-13C3-4BA5-AA71-4A8C483F36DC}">
  <dimension ref="A1:B4"/>
  <sheetViews>
    <sheetView zoomScale="115" zoomScaleNormal="115" workbookViewId="0">
      <selection activeCell="A4" sqref="A4"/>
    </sheetView>
  </sheetViews>
  <sheetFormatPr defaultRowHeight="14.5" x14ac:dyDescent="0.35"/>
  <cols>
    <col min="1" max="1" width="10.26953125" bestFit="1" customWidth="1"/>
    <col min="2" max="2" width="14.36328125" bestFit="1" customWidth="1"/>
    <col min="3" max="3" width="15.7265625" bestFit="1" customWidth="1"/>
  </cols>
  <sheetData>
    <row r="1" spans="1:2" x14ac:dyDescent="0.35">
      <c r="A1" t="s">
        <v>65</v>
      </c>
    </row>
    <row r="3" spans="1:2" x14ac:dyDescent="0.35">
      <c r="A3" t="s">
        <v>97</v>
      </c>
      <c r="B3" t="s">
        <v>75</v>
      </c>
    </row>
    <row r="4" spans="1:2" x14ac:dyDescent="0.35">
      <c r="A4">
        <v>0.15239000000000005</v>
      </c>
      <c r="B4" s="2">
        <v>5019265.2300000023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3D27-C20D-4F86-B8AF-E167618BCFC5}">
  <dimension ref="A1:B6"/>
  <sheetViews>
    <sheetView workbookViewId="0">
      <selection activeCell="A3" sqref="A3:B6"/>
    </sheetView>
  </sheetViews>
  <sheetFormatPr defaultRowHeight="14.5" x14ac:dyDescent="0.35"/>
  <cols>
    <col min="1" max="1" width="14.6328125" bestFit="1" customWidth="1"/>
    <col min="2" max="2" width="12.54296875" bestFit="1" customWidth="1"/>
  </cols>
  <sheetData>
    <row r="1" spans="1:2" x14ac:dyDescent="0.35">
      <c r="A1" t="s">
        <v>99</v>
      </c>
    </row>
    <row r="3" spans="1:2" x14ac:dyDescent="0.35">
      <c r="A3" s="4" t="s">
        <v>100</v>
      </c>
      <c r="B3" t="s">
        <v>77</v>
      </c>
    </row>
    <row r="4" spans="1:2" x14ac:dyDescent="0.35">
      <c r="A4" s="5" t="s">
        <v>18</v>
      </c>
      <c r="B4" s="2">
        <v>2458833.9300000034</v>
      </c>
    </row>
    <row r="5" spans="1:2" x14ac:dyDescent="0.35">
      <c r="A5" s="5" t="s">
        <v>21</v>
      </c>
      <c r="B5" s="2">
        <v>2560431.2999999984</v>
      </c>
    </row>
    <row r="6" spans="1:2" x14ac:dyDescent="0.35">
      <c r="A6" s="5" t="s">
        <v>73</v>
      </c>
      <c r="B6" s="2">
        <v>5019265.2300000023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D96C-E44F-474D-B01A-E401050EEAE5}">
  <dimension ref="A2:B9"/>
  <sheetViews>
    <sheetView workbookViewId="0">
      <selection activeCell="B5" sqref="A4:B9"/>
    </sheetView>
  </sheetViews>
  <sheetFormatPr defaultRowHeight="14.5" x14ac:dyDescent="0.35"/>
  <cols>
    <col min="1" max="1" width="17.1796875" bestFit="1" customWidth="1"/>
    <col min="2" max="2" width="15.36328125" bestFit="1" customWidth="1"/>
    <col min="3" max="3" width="21.7265625" bestFit="1" customWidth="1"/>
  </cols>
  <sheetData>
    <row r="2" spans="1:2" x14ac:dyDescent="0.35">
      <c r="A2" t="s">
        <v>64</v>
      </c>
    </row>
    <row r="4" spans="1:2" x14ac:dyDescent="0.35">
      <c r="A4" s="4" t="s">
        <v>92</v>
      </c>
      <c r="B4" t="s">
        <v>96</v>
      </c>
    </row>
    <row r="5" spans="1:2" x14ac:dyDescent="0.35">
      <c r="A5" s="5" t="s">
        <v>28</v>
      </c>
      <c r="B5">
        <v>0.16022388059701501</v>
      </c>
    </row>
    <row r="6" spans="1:2" x14ac:dyDescent="0.35">
      <c r="A6" s="5" t="s">
        <v>34</v>
      </c>
      <c r="B6">
        <v>0.13650406504065041</v>
      </c>
    </row>
    <row r="7" spans="1:2" x14ac:dyDescent="0.35">
      <c r="A7" s="5" t="s">
        <v>25</v>
      </c>
      <c r="B7">
        <v>0.15380530973451326</v>
      </c>
    </row>
    <row r="8" spans="1:2" x14ac:dyDescent="0.35">
      <c r="A8" s="5" t="s">
        <v>15</v>
      </c>
      <c r="B8">
        <v>0.15811538461538469</v>
      </c>
    </row>
    <row r="9" spans="1:2" x14ac:dyDescent="0.35">
      <c r="A9" s="5" t="s">
        <v>73</v>
      </c>
      <c r="B9">
        <v>0.15239000000000005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A9A86-E4CD-4D28-86BF-FF9E789522C0}">
  <dimension ref="A1:B7"/>
  <sheetViews>
    <sheetView workbookViewId="0">
      <selection activeCell="K5" sqref="K5"/>
    </sheetView>
  </sheetViews>
  <sheetFormatPr defaultRowHeight="14.5" x14ac:dyDescent="0.35"/>
  <cols>
    <col min="1" max="1" width="18" bestFit="1" customWidth="1"/>
    <col min="2" max="2" width="13.81640625" bestFit="1" customWidth="1"/>
  </cols>
  <sheetData>
    <row r="1" spans="1:2" x14ac:dyDescent="0.35">
      <c r="A1" t="s">
        <v>62</v>
      </c>
    </row>
    <row r="3" spans="1:2" x14ac:dyDescent="0.35">
      <c r="A3" s="4" t="s">
        <v>94</v>
      </c>
      <c r="B3" t="s">
        <v>93</v>
      </c>
    </row>
    <row r="4" spans="1:2" x14ac:dyDescent="0.35">
      <c r="A4" s="5" t="s">
        <v>26</v>
      </c>
      <c r="B4">
        <v>342</v>
      </c>
    </row>
    <row r="5" spans="1:2" x14ac:dyDescent="0.35">
      <c r="A5" s="5" t="s">
        <v>17</v>
      </c>
      <c r="B5">
        <v>313</v>
      </c>
    </row>
    <row r="6" spans="1:2" x14ac:dyDescent="0.35">
      <c r="A6" s="5" t="s">
        <v>30</v>
      </c>
      <c r="B6">
        <v>345</v>
      </c>
    </row>
    <row r="7" spans="1:2" x14ac:dyDescent="0.35">
      <c r="A7" s="5" t="s">
        <v>73</v>
      </c>
      <c r="B7">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9418A-C1DA-4035-8D81-129E2C7D6528}">
  <dimension ref="A1:B9"/>
  <sheetViews>
    <sheetView workbookViewId="0">
      <selection activeCell="A4" sqref="A4:B8"/>
    </sheetView>
  </sheetViews>
  <sheetFormatPr defaultRowHeight="14.5" x14ac:dyDescent="0.35"/>
  <cols>
    <col min="1" max="2" width="17.1796875" bestFit="1" customWidth="1"/>
  </cols>
  <sheetData>
    <row r="1" spans="1:2" x14ac:dyDescent="0.35">
      <c r="A1" t="s">
        <v>60</v>
      </c>
    </row>
    <row r="4" spans="1:2" x14ac:dyDescent="0.35">
      <c r="A4" s="4" t="s">
        <v>92</v>
      </c>
      <c r="B4" t="s">
        <v>91</v>
      </c>
    </row>
    <row r="5" spans="1:2" x14ac:dyDescent="0.35">
      <c r="A5" s="5" t="s">
        <v>28</v>
      </c>
      <c r="B5">
        <v>6922</v>
      </c>
    </row>
    <row r="6" spans="1:2" x14ac:dyDescent="0.35">
      <c r="A6" s="5" t="s">
        <v>34</v>
      </c>
      <c r="B6">
        <v>6096</v>
      </c>
    </row>
    <row r="7" spans="1:2" x14ac:dyDescent="0.35">
      <c r="A7" s="5" t="s">
        <v>25</v>
      </c>
      <c r="B7">
        <v>5608</v>
      </c>
    </row>
    <row r="8" spans="1:2" x14ac:dyDescent="0.35">
      <c r="A8" s="5" t="s">
        <v>15</v>
      </c>
      <c r="B8">
        <v>6729</v>
      </c>
    </row>
    <row r="9" spans="1:2" x14ac:dyDescent="0.35">
      <c r="A9" s="5" t="s">
        <v>73</v>
      </c>
      <c r="B9">
        <v>25355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5A0CA-8F30-4D8A-B98A-E5F2472245C8}">
  <dimension ref="A3:B9"/>
  <sheetViews>
    <sheetView workbookViewId="0">
      <selection activeCell="D19" sqref="D19"/>
    </sheetView>
  </sheetViews>
  <sheetFormatPr defaultRowHeight="14.5" x14ac:dyDescent="0.35"/>
  <cols>
    <col min="1" max="1" width="15.36328125" bestFit="1" customWidth="1"/>
    <col min="2" max="3" width="14.36328125" bestFit="1" customWidth="1"/>
  </cols>
  <sheetData>
    <row r="3" spans="1:2" x14ac:dyDescent="0.35">
      <c r="A3" t="s">
        <v>61</v>
      </c>
    </row>
    <row r="6" spans="1:2" x14ac:dyDescent="0.35">
      <c r="A6" s="4" t="s">
        <v>98</v>
      </c>
      <c r="B6" t="s">
        <v>75</v>
      </c>
    </row>
    <row r="7" spans="1:2" x14ac:dyDescent="0.35">
      <c r="A7" s="5" t="s">
        <v>29</v>
      </c>
      <c r="B7" s="2">
        <v>2506258.299999998</v>
      </c>
    </row>
    <row r="8" spans="1:2" x14ac:dyDescent="0.35">
      <c r="A8" s="5" t="s">
        <v>16</v>
      </c>
      <c r="B8" s="2">
        <v>2513006.930000002</v>
      </c>
    </row>
    <row r="9" spans="1:2" x14ac:dyDescent="0.35">
      <c r="A9" s="5" t="s">
        <v>73</v>
      </c>
      <c r="B9" s="2">
        <v>5019265.2300000004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45B12-85B8-488F-AEBF-453E9DC28889}">
  <dimension ref="A2:B17"/>
  <sheetViews>
    <sheetView workbookViewId="0">
      <selection activeCell="J21" sqref="J21"/>
    </sheetView>
  </sheetViews>
  <sheetFormatPr defaultRowHeight="14.5" x14ac:dyDescent="0.35"/>
  <cols>
    <col min="1" max="1" width="10.54296875" bestFit="1" customWidth="1"/>
    <col min="2" max="2" width="12.54296875" bestFit="1" customWidth="1"/>
  </cols>
  <sheetData>
    <row r="2" spans="1:2" x14ac:dyDescent="0.35">
      <c r="A2" t="s">
        <v>58</v>
      </c>
    </row>
    <row r="4" spans="1:2" x14ac:dyDescent="0.35">
      <c r="A4" s="4" t="s">
        <v>67</v>
      </c>
      <c r="B4" t="s">
        <v>77</v>
      </c>
    </row>
    <row r="5" spans="1:2" x14ac:dyDescent="0.35">
      <c r="A5" s="5" t="s">
        <v>79</v>
      </c>
      <c r="B5" s="2">
        <v>495420.37000000011</v>
      </c>
    </row>
    <row r="6" spans="1:2" x14ac:dyDescent="0.35">
      <c r="A6" s="5" t="s">
        <v>80</v>
      </c>
      <c r="B6" s="2">
        <v>368919.35999999993</v>
      </c>
    </row>
    <row r="7" spans="1:2" x14ac:dyDescent="0.35">
      <c r="A7" s="5" t="s">
        <v>81</v>
      </c>
      <c r="B7" s="2">
        <v>402638.77000000008</v>
      </c>
    </row>
    <row r="8" spans="1:2" x14ac:dyDescent="0.35">
      <c r="A8" s="5" t="s">
        <v>82</v>
      </c>
      <c r="B8" s="2">
        <v>438992.61000000004</v>
      </c>
    </row>
    <row r="9" spans="1:2" x14ac:dyDescent="0.35">
      <c r="A9" s="5" t="s">
        <v>83</v>
      </c>
      <c r="B9" s="2">
        <v>389078.75999999989</v>
      </c>
    </row>
    <row r="10" spans="1:2" x14ac:dyDescent="0.35">
      <c r="A10" s="5" t="s">
        <v>84</v>
      </c>
      <c r="B10" s="2">
        <v>418458.34000000008</v>
      </c>
    </row>
    <row r="11" spans="1:2" x14ac:dyDescent="0.35">
      <c r="A11" s="5" t="s">
        <v>85</v>
      </c>
      <c r="B11" s="2">
        <v>374242.88</v>
      </c>
    </row>
    <row r="12" spans="1:2" x14ac:dyDescent="0.35">
      <c r="A12" s="5" t="s">
        <v>86</v>
      </c>
      <c r="B12" s="2">
        <v>443171.28</v>
      </c>
    </row>
    <row r="13" spans="1:2" x14ac:dyDescent="0.35">
      <c r="A13" s="5" t="s">
        <v>87</v>
      </c>
      <c r="B13" s="2">
        <v>367837.60000000003</v>
      </c>
    </row>
    <row r="14" spans="1:2" x14ac:dyDescent="0.35">
      <c r="A14" s="5" t="s">
        <v>88</v>
      </c>
      <c r="B14" s="2">
        <v>460378.78000000014</v>
      </c>
    </row>
    <row r="15" spans="1:2" x14ac:dyDescent="0.35">
      <c r="A15" s="5" t="s">
        <v>89</v>
      </c>
      <c r="B15" s="2">
        <v>467482.89999999985</v>
      </c>
    </row>
    <row r="16" spans="1:2" x14ac:dyDescent="0.35">
      <c r="A16" s="5" t="s">
        <v>90</v>
      </c>
      <c r="B16" s="2">
        <v>392643.57999999984</v>
      </c>
    </row>
    <row r="17" spans="1:2" x14ac:dyDescent="0.35">
      <c r="A17" s="5" t="s">
        <v>73</v>
      </c>
      <c r="B17" s="2">
        <v>5019265.2300000004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17C94-2899-4F1B-B86A-A308771F42EE}">
  <dimension ref="A2:B9"/>
  <sheetViews>
    <sheetView topLeftCell="B1" workbookViewId="0">
      <selection activeCell="L13" sqref="L13"/>
    </sheetView>
  </sheetViews>
  <sheetFormatPr defaultRowHeight="14.5" x14ac:dyDescent="0.35"/>
  <cols>
    <col min="1" max="1" width="10.54296875" bestFit="1" customWidth="1"/>
    <col min="2" max="2" width="12.54296875" bestFit="1" customWidth="1"/>
  </cols>
  <sheetData>
    <row r="2" spans="1:2" x14ac:dyDescent="0.35">
      <c r="A2" t="s">
        <v>56</v>
      </c>
    </row>
    <row r="3" spans="1:2" x14ac:dyDescent="0.35">
      <c r="A3" s="4" t="s">
        <v>76</v>
      </c>
      <c r="B3" t="s">
        <v>77</v>
      </c>
    </row>
    <row r="4" spans="1:2" x14ac:dyDescent="0.35">
      <c r="A4" s="5" t="s">
        <v>41</v>
      </c>
      <c r="B4" s="2">
        <v>965541.77000000048</v>
      </c>
    </row>
    <row r="5" spans="1:2" x14ac:dyDescent="0.35">
      <c r="A5" s="5" t="s">
        <v>13</v>
      </c>
      <c r="B5" s="2">
        <v>1080990.6300000006</v>
      </c>
    </row>
    <row r="6" spans="1:2" x14ac:dyDescent="0.35">
      <c r="A6" s="5" t="s">
        <v>32</v>
      </c>
      <c r="B6" s="2">
        <v>860811.48</v>
      </c>
    </row>
    <row r="7" spans="1:2" x14ac:dyDescent="0.35">
      <c r="A7" s="5" t="s">
        <v>23</v>
      </c>
      <c r="B7" s="2">
        <v>1141737.3599999996</v>
      </c>
    </row>
    <row r="8" spans="1:2" x14ac:dyDescent="0.35">
      <c r="A8" s="5" t="s">
        <v>37</v>
      </c>
      <c r="B8" s="2">
        <v>970183.99000000022</v>
      </c>
    </row>
    <row r="9" spans="1:2" x14ac:dyDescent="0.35">
      <c r="A9" s="5" t="s">
        <v>73</v>
      </c>
      <c r="B9" s="2">
        <v>5019265.2300000004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4382-5341-45D8-ACF0-3C94C289EB27}">
  <dimension ref="A3:B10"/>
  <sheetViews>
    <sheetView workbookViewId="0">
      <selection activeCell="E17" sqref="E17"/>
    </sheetView>
  </sheetViews>
  <sheetFormatPr defaultRowHeight="14.5" x14ac:dyDescent="0.35"/>
  <cols>
    <col min="1" max="1" width="10.36328125" bestFit="1" customWidth="1"/>
    <col min="2" max="2" width="14.1796875" bestFit="1" customWidth="1"/>
  </cols>
  <sheetData>
    <row r="3" spans="1:2" x14ac:dyDescent="0.35">
      <c r="A3" t="s">
        <v>57</v>
      </c>
    </row>
    <row r="5" spans="1:2" x14ac:dyDescent="0.35">
      <c r="A5" s="4" t="s">
        <v>3</v>
      </c>
      <c r="B5" t="s">
        <v>78</v>
      </c>
    </row>
    <row r="6" spans="1:2" x14ac:dyDescent="0.35">
      <c r="A6" s="5" t="s">
        <v>33</v>
      </c>
      <c r="B6" s="2">
        <v>1259792.93</v>
      </c>
    </row>
    <row r="7" spans="1:2" x14ac:dyDescent="0.35">
      <c r="A7" s="5" t="s">
        <v>14</v>
      </c>
      <c r="B7" s="2">
        <v>1369612.5100000009</v>
      </c>
    </row>
    <row r="8" spans="1:2" x14ac:dyDescent="0.35">
      <c r="A8" s="5" t="s">
        <v>24</v>
      </c>
      <c r="B8" s="2">
        <v>1154250.8600000006</v>
      </c>
    </row>
    <row r="9" spans="1:2" x14ac:dyDescent="0.35">
      <c r="A9" s="5" t="s">
        <v>20</v>
      </c>
      <c r="B9" s="2">
        <v>1235608.9299999997</v>
      </c>
    </row>
    <row r="10" spans="1:2" x14ac:dyDescent="0.35">
      <c r="A10" s="5" t="s">
        <v>73</v>
      </c>
      <c r="B10" s="2">
        <v>5019265.2300000014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sales_data</vt:lpstr>
      <vt:lpstr>% discount on sales</vt:lpstr>
      <vt:lpstr>sales by channel</vt:lpstr>
      <vt:lpstr>avg disount by cat</vt:lpstr>
      <vt:lpstr>Payment method</vt:lpstr>
      <vt:lpstr>product cat by quantity</vt:lpstr>
      <vt:lpstr>customer type by revenue</vt:lpstr>
      <vt:lpstr>sales trend by month</vt:lpstr>
      <vt:lpstr>revenue by sales rep</vt:lpstr>
      <vt:lpstr>revenue by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Ugochukwu Adindu</dc:creator>
  <cp:lastModifiedBy>Patricia Chukwu</cp:lastModifiedBy>
  <dcterms:created xsi:type="dcterms:W3CDTF">2025-03-06T16:06:49Z</dcterms:created>
  <dcterms:modified xsi:type="dcterms:W3CDTF">2025-12-11T21:20:27Z</dcterms:modified>
</cp:coreProperties>
</file>